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xr:revisionPtr revIDLastSave="0" documentId="8_{6A8A0BF7-0E0D-4CEC-BCAE-6305F59B7221}" xr6:coauthVersionLast="47" xr6:coauthVersionMax="47" xr10:uidLastSave="{00000000-0000-0000-0000-000000000000}"/>
  <bookViews>
    <workbookView xWindow="0" yWindow="0" windowWidth="0" windowHeight="0" xr2:uid="{00000000-000D-0000-FFFF-FFFF00000000}"/>
  </bookViews>
  <sheets>
    <sheet name="SMI Expanded Portfolio" sheetId="1" r:id="rId1"/>
    <sheet name="Management Summary" sheetId="2" r:id="rId2"/>
    <sheet name="Demo Prompts" sheetId="3" r:id="rId3"/>
    <sheet name="Sources &amp; Limitation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B7" i="2"/>
  <c r="B6" i="2"/>
  <c r="B5" i="2"/>
  <c r="B4" i="2"/>
  <c r="M51" i="1"/>
  <c r="N51" i="1" s="1"/>
  <c r="M50" i="1"/>
  <c r="N50" i="1" s="1"/>
  <c r="M49" i="1"/>
  <c r="N49" i="1" s="1"/>
  <c r="M48" i="1"/>
  <c r="N48" i="1" s="1"/>
  <c r="M47" i="1"/>
  <c r="N47" i="1" s="1"/>
  <c r="M46" i="1"/>
  <c r="N46" i="1" s="1"/>
  <c r="M45" i="1"/>
  <c r="N45" i="1" s="1"/>
  <c r="M44" i="1"/>
  <c r="N44" i="1" s="1"/>
  <c r="M43" i="1"/>
  <c r="N43" i="1" s="1"/>
  <c r="M42" i="1"/>
  <c r="N42" i="1" s="1"/>
  <c r="M41" i="1"/>
  <c r="N41" i="1" s="1"/>
  <c r="M40" i="1"/>
  <c r="N40" i="1" s="1"/>
  <c r="M39" i="1"/>
  <c r="N39" i="1" s="1"/>
  <c r="M38" i="1"/>
  <c r="N38" i="1" s="1"/>
  <c r="M37" i="1"/>
  <c r="N37" i="1" s="1"/>
  <c r="M36" i="1"/>
  <c r="N36" i="1" s="1"/>
  <c r="M35" i="1"/>
  <c r="N35" i="1" s="1"/>
  <c r="M34" i="1"/>
  <c r="N34" i="1" s="1"/>
  <c r="M33" i="1"/>
  <c r="N33" i="1" s="1"/>
  <c r="M32" i="1"/>
  <c r="N32" i="1" s="1"/>
  <c r="M31" i="1"/>
  <c r="N31" i="1" s="1"/>
  <c r="M30" i="1"/>
  <c r="N30" i="1" s="1"/>
  <c r="M29" i="1"/>
  <c r="N29" i="1" s="1"/>
  <c r="M28" i="1"/>
  <c r="N28" i="1" s="1"/>
  <c r="M27" i="1"/>
  <c r="N27" i="1" s="1"/>
  <c r="M26" i="1"/>
  <c r="N26" i="1" s="1"/>
  <c r="M25" i="1"/>
  <c r="N25" i="1" s="1"/>
  <c r="M24" i="1"/>
  <c r="N24" i="1" s="1"/>
  <c r="M23" i="1"/>
  <c r="N23" i="1" s="1"/>
  <c r="M22" i="1"/>
  <c r="N22" i="1" s="1"/>
  <c r="M21" i="1"/>
  <c r="N21" i="1" s="1"/>
  <c r="M20" i="1"/>
  <c r="N20" i="1" s="1"/>
  <c r="M19" i="1"/>
  <c r="N19" i="1" s="1"/>
  <c r="M18" i="1"/>
  <c r="N18" i="1" s="1"/>
  <c r="M17" i="1"/>
  <c r="N17" i="1" s="1"/>
  <c r="M16" i="1"/>
  <c r="N16" i="1" s="1"/>
  <c r="M15" i="1"/>
  <c r="N15" i="1" s="1"/>
  <c r="M14" i="1"/>
  <c r="N14" i="1" s="1"/>
  <c r="M13" i="1"/>
  <c r="N13" i="1" s="1"/>
  <c r="M12" i="1"/>
  <c r="N12" i="1" s="1"/>
  <c r="M11" i="1"/>
  <c r="N11" i="1" s="1"/>
  <c r="M10" i="1"/>
  <c r="N10" i="1" s="1"/>
  <c r="M9" i="1"/>
  <c r="N9" i="1" s="1"/>
  <c r="M8" i="1"/>
  <c r="N8" i="1" s="1"/>
  <c r="M7" i="1"/>
  <c r="N7" i="1" s="1"/>
  <c r="M6" i="1"/>
  <c r="N6" i="1" s="1"/>
  <c r="M5" i="1"/>
  <c r="N5" i="1" s="1"/>
  <c r="M4" i="1"/>
  <c r="N4" i="1" s="1"/>
  <c r="M3" i="1"/>
  <c r="N3" i="1" s="1"/>
  <c r="M2" i="1"/>
  <c r="N2" i="1" s="1"/>
  <c r="B9" i="2" l="1"/>
  <c r="B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Copilot</author>
  </authors>
  <commentList>
    <comment ref="A1" authorId="0" shapeId="0" xr:uid="{00000000-0006-0000-0000-000001000000}">
      <text>
        <r>
          <rPr>
            <sz val="11"/>
            <color theme="1"/>
            <rFont val="Calibri"/>
            <family val="2"/>
            <scheme val="minor"/>
          </rPr>
          <t>SMI Expanded combines SMI and SMIM securities. It is used because the SMI alone contains 20 constituents, not 50.</t>
        </r>
      </text>
    </comment>
  </commentList>
</comments>
</file>

<file path=xl/sharedStrings.xml><?xml version="1.0" encoding="utf-8"?>
<sst xmlns="http://schemas.openxmlformats.org/spreadsheetml/2006/main" count="579" uniqueCount="297">
  <si>
    <t>Security ID</t>
  </si>
  <si>
    <t>Company</t>
  </si>
  <si>
    <t>Ticker</t>
  </si>
  <si>
    <t>Index</t>
  </si>
  <si>
    <t>Sector</t>
  </si>
  <si>
    <t>Canton</t>
  </si>
  <si>
    <t>ISIN</t>
  </si>
  <si>
    <t>Price (CHF)</t>
  </si>
  <si>
    <t>Daily Perf.</t>
  </si>
  <si>
    <t>3M Perf.</t>
  </si>
  <si>
    <t>6M Perf.</t>
  </si>
  <si>
    <t>1Y Perf.</t>
  </si>
  <si>
    <t>Momentum Score</t>
  </si>
  <si>
    <t>Signal</t>
  </si>
  <si>
    <t>Market Data Date</t>
  </si>
  <si>
    <t>Data Coverage</t>
  </si>
  <si>
    <t>Source URL</t>
  </si>
  <si>
    <t>SEC-001</t>
  </si>
  <si>
    <t>Novartis AG</t>
  </si>
  <si>
    <t>NOVN</t>
  </si>
  <si>
    <t>SMI</t>
  </si>
  <si>
    <t>Health care</t>
  </si>
  <si>
    <t>Basel</t>
  </si>
  <si>
    <t>CH0012005267</t>
  </si>
  <si>
    <t>28.08.2026</t>
  </si>
  <si>
    <t>Complete market snapshot</t>
  </si>
  <si>
    <t>https://www.finanzen.ch/index/liste/smi_expanded</t>
  </si>
  <si>
    <t>SEC-002</t>
  </si>
  <si>
    <t>Roche Holding AG</t>
  </si>
  <si>
    <t>RO</t>
  </si>
  <si>
    <t>CH1499059983</t>
  </si>
  <si>
    <t>SEC-003</t>
  </si>
  <si>
    <t>ROP</t>
  </si>
  <si>
    <t>SMI MID</t>
  </si>
  <si>
    <t>CH0012032113</t>
  </si>
  <si>
    <t>SEC-004</t>
  </si>
  <si>
    <t>Nestlé SA</t>
  </si>
  <si>
    <t>NESN</t>
  </si>
  <si>
    <t>Retail staples</t>
  </si>
  <si>
    <t>Vaud</t>
  </si>
  <si>
    <t>CH0038863350</t>
  </si>
  <si>
    <t>SEC-005</t>
  </si>
  <si>
    <t>ABB Ltd</t>
  </si>
  <si>
    <t>ABBN</t>
  </si>
  <si>
    <t>Industrials</t>
  </si>
  <si>
    <t>Zurich</t>
  </si>
  <si>
    <t>CH0012221716</t>
  </si>
  <si>
    <t>SEC-006</t>
  </si>
  <si>
    <t>UBS Group AG</t>
  </si>
  <si>
    <t>UBSG</t>
  </si>
  <si>
    <t>Financials</t>
  </si>
  <si>
    <t>Zurich/Basel</t>
  </si>
  <si>
    <t>CH0244767585</t>
  </si>
  <si>
    <t>SEC-007</t>
  </si>
  <si>
    <t>Compagnie Financière Richemont SA</t>
  </si>
  <si>
    <t>CFR</t>
  </si>
  <si>
    <t>Retail discretionary</t>
  </si>
  <si>
    <t>Geneva</t>
  </si>
  <si>
    <t>CH0210483332</t>
  </si>
  <si>
    <t>SEC-008</t>
  </si>
  <si>
    <t>Zurich Insurance Group AG</t>
  </si>
  <si>
    <t>ZURN</t>
  </si>
  <si>
    <t>CH0011075394</t>
  </si>
  <si>
    <t>SEC-009</t>
  </si>
  <si>
    <t>Holcim Ltd</t>
  </si>
  <si>
    <t>HOLN</t>
  </si>
  <si>
    <t>Materials</t>
  </si>
  <si>
    <t>St. Gallen</t>
  </si>
  <si>
    <t>CH0012214059</t>
  </si>
  <si>
    <t>SEC-010</t>
  </si>
  <si>
    <t>Lonza Group AG</t>
  </si>
  <si>
    <t>LONN</t>
  </si>
  <si>
    <t>CH0013841017</t>
  </si>
  <si>
    <t>SEC-011</t>
  </si>
  <si>
    <t>Swiss Re Ltd</t>
  </si>
  <si>
    <t>SREN</t>
  </si>
  <si>
    <t>CH0126881561</t>
  </si>
  <si>
    <t>SEC-012</t>
  </si>
  <si>
    <t>Givaudan SA</t>
  </si>
  <si>
    <t>GIVN</t>
  </si>
  <si>
    <t>CH0010645932</t>
  </si>
  <si>
    <t>SEC-013</t>
  </si>
  <si>
    <t>Swisscom AG</t>
  </si>
  <si>
    <t>SCMN</t>
  </si>
  <si>
    <t>Communication services</t>
  </si>
  <si>
    <t>Bern</t>
  </si>
  <si>
    <t>CH0008742519</t>
  </si>
  <si>
    <t>SEC-014</t>
  </si>
  <si>
    <t>Sika AG</t>
  </si>
  <si>
    <t>SIKA</t>
  </si>
  <si>
    <t>Zug</t>
  </si>
  <si>
    <t>CH0418792922</t>
  </si>
  <si>
    <t>SEC-015</t>
  </si>
  <si>
    <t>Alcon Inc.</t>
  </si>
  <si>
    <t>ALC</t>
  </si>
  <si>
    <t>Fribourg</t>
  </si>
  <si>
    <t>CH0432492467</t>
  </si>
  <si>
    <t>SEC-016</t>
  </si>
  <si>
    <t>Swiss Life Holding AG</t>
  </si>
  <si>
    <t>SLHN</t>
  </si>
  <si>
    <t>CH0014852781</t>
  </si>
  <si>
    <t>SEC-017</t>
  </si>
  <si>
    <t>Kuehne + Nagel International AG</t>
  </si>
  <si>
    <t>KNIN</t>
  </si>
  <si>
    <t>Schwyz</t>
  </si>
  <si>
    <t>CH0025238863</t>
  </si>
  <si>
    <t>SEC-018</t>
  </si>
  <si>
    <t>Partners Group Holding AG</t>
  </si>
  <si>
    <t>PGHN</t>
  </si>
  <si>
    <t>CH0024608827</t>
  </si>
  <si>
    <t>SEC-019</t>
  </si>
  <si>
    <t>Geberit AG</t>
  </si>
  <si>
    <t>GEBN</t>
  </si>
  <si>
    <t>CH0030170408</t>
  </si>
  <si>
    <t>SEC-020</t>
  </si>
  <si>
    <t>Logitech International SA</t>
  </si>
  <si>
    <t>LOGN</t>
  </si>
  <si>
    <t>Information technology</t>
  </si>
  <si>
    <t>CH0025751329</t>
  </si>
  <si>
    <t>SEC-021</t>
  </si>
  <si>
    <t>Amrize AG</t>
  </si>
  <si>
    <t>AMRZ</t>
  </si>
  <si>
    <t>Constituent metadata only</t>
  </si>
  <si>
    <t>https://www.six-group.com/de/market-data/indices/switzerland/equity/smi-expanded-smim.html</t>
  </si>
  <si>
    <t>SEC-022</t>
  </si>
  <si>
    <t>Galderma SA</t>
  </si>
  <si>
    <t>GALD</t>
  </si>
  <si>
    <t>SEC-023</t>
  </si>
  <si>
    <t>Sandoz Group AG</t>
  </si>
  <si>
    <t>SDZ</t>
  </si>
  <si>
    <t>SEC-024</t>
  </si>
  <si>
    <t>Schindler Holding Ltd</t>
  </si>
  <si>
    <t>SCHN</t>
  </si>
  <si>
    <t>Lucerne</t>
  </si>
  <si>
    <t>CH0024638212</t>
  </si>
  <si>
    <t>SEC-025</t>
  </si>
  <si>
    <t>SCHP</t>
  </si>
  <si>
    <t>CH0024638196</t>
  </si>
  <si>
    <t>SEC-026</t>
  </si>
  <si>
    <t>Chocoladefabriken Lindt &amp; Sprüngli AG</t>
  </si>
  <si>
    <t>LISN</t>
  </si>
  <si>
    <t>CH0010570759</t>
  </si>
  <si>
    <t>SEC-027</t>
  </si>
  <si>
    <t>LISP</t>
  </si>
  <si>
    <t>CH0010570767</t>
  </si>
  <si>
    <t>SEC-028</t>
  </si>
  <si>
    <t>VAT Group</t>
  </si>
  <si>
    <t>VACN</t>
  </si>
  <si>
    <t>CH0311864901</t>
  </si>
  <si>
    <t>SEC-029</t>
  </si>
  <si>
    <t>Helvetia Baloise</t>
  </si>
  <si>
    <t>HBAN</t>
  </si>
  <si>
    <t>CH0466642201</t>
  </si>
  <si>
    <t>SEC-030</t>
  </si>
  <si>
    <t>SGS AG</t>
  </si>
  <si>
    <t>SGSN</t>
  </si>
  <si>
    <t>CH1256740924</t>
  </si>
  <si>
    <t>SEC-031</t>
  </si>
  <si>
    <t>Straumann Group</t>
  </si>
  <si>
    <t>STMN</t>
  </si>
  <si>
    <t>CH1175448666</t>
  </si>
  <si>
    <t>SEC-032</t>
  </si>
  <si>
    <t>Ems-Chemie Holding AG</t>
  </si>
  <si>
    <t>EMSN</t>
  </si>
  <si>
    <t>CH0016440353</t>
  </si>
  <si>
    <t>SEC-033</t>
  </si>
  <si>
    <t>Julius Baer Group Ltd.</t>
  </si>
  <si>
    <t>BAER</t>
  </si>
  <si>
    <t>CH0102484968</t>
  </si>
  <si>
    <t>SEC-034</t>
  </si>
  <si>
    <t>Sonova Holding AG</t>
  </si>
  <si>
    <t>SOON</t>
  </si>
  <si>
    <t>CH0012549785</t>
  </si>
  <si>
    <t>SEC-035</t>
  </si>
  <si>
    <t>Belimo Holding AG</t>
  </si>
  <si>
    <t>BEAN</t>
  </si>
  <si>
    <t>CH1101098163</t>
  </si>
  <si>
    <t>SEC-036</t>
  </si>
  <si>
    <t>Swiss Prime Site AG</t>
  </si>
  <si>
    <t>SPSN</t>
  </si>
  <si>
    <t>Real estate</t>
  </si>
  <si>
    <t>CH0008038389</t>
  </si>
  <si>
    <t>SEC-037</t>
  </si>
  <si>
    <t>Swatch Group Ltd.</t>
  </si>
  <si>
    <t>UHR</t>
  </si>
  <si>
    <t>Biel</t>
  </si>
  <si>
    <t>CH0012255151</t>
  </si>
  <si>
    <t>SEC-038</t>
  </si>
  <si>
    <t>Flughafen Zürich AG</t>
  </si>
  <si>
    <t>FHZN</t>
  </si>
  <si>
    <t>CH0319416936</t>
  </si>
  <si>
    <t>SEC-039</t>
  </si>
  <si>
    <t>Accelleron AG</t>
  </si>
  <si>
    <t>ACLN</t>
  </si>
  <si>
    <t>Aargau</t>
  </si>
  <si>
    <t>SEC-040</t>
  </si>
  <si>
    <t>Avolta AG</t>
  </si>
  <si>
    <t>AVOL</t>
  </si>
  <si>
    <t>Basel-City</t>
  </si>
  <si>
    <t>CH0023405456</t>
  </si>
  <si>
    <t>SEC-041</t>
  </si>
  <si>
    <t>PSP Swiss Property</t>
  </si>
  <si>
    <t>PSPN</t>
  </si>
  <si>
    <t>CH0018294154</t>
  </si>
  <si>
    <t>SEC-042</t>
  </si>
  <si>
    <t>Barry Callebaut AG</t>
  </si>
  <si>
    <t>BARN</t>
  </si>
  <si>
    <t>CH0009002962</t>
  </si>
  <si>
    <t>SEC-043</t>
  </si>
  <si>
    <t>Swissquote Group Holding Ltd</t>
  </si>
  <si>
    <t>SQN</t>
  </si>
  <si>
    <t>SEC-044</t>
  </si>
  <si>
    <t>SIG Group</t>
  </si>
  <si>
    <t>SIGN</t>
  </si>
  <si>
    <t>Schaffhausen</t>
  </si>
  <si>
    <t>CH0435377954</t>
  </si>
  <si>
    <t>SEC-045</t>
  </si>
  <si>
    <t>Temenos AG</t>
  </si>
  <si>
    <t>TEMN</t>
  </si>
  <si>
    <t>CH0012453913</t>
  </si>
  <si>
    <t>SEC-046</t>
  </si>
  <si>
    <t>Galenica AG</t>
  </si>
  <si>
    <t>GALE</t>
  </si>
  <si>
    <t>CH0360674466</t>
  </si>
  <si>
    <t>SEC-047</t>
  </si>
  <si>
    <t>Georg Fischer AG</t>
  </si>
  <si>
    <t>GF</t>
  </si>
  <si>
    <t>CH1169151003</t>
  </si>
  <si>
    <t>SEC-048</t>
  </si>
  <si>
    <t>Sunrise Communications AG</t>
  </si>
  <si>
    <t>SUNN</t>
  </si>
  <si>
    <t>SEC-049</t>
  </si>
  <si>
    <t>Adecco Group</t>
  </si>
  <si>
    <t>ADEN</t>
  </si>
  <si>
    <t>CH0012138605</t>
  </si>
  <si>
    <t>SEC-050</t>
  </si>
  <si>
    <t>Clariant AG</t>
  </si>
  <si>
    <t>CLN</t>
  </si>
  <si>
    <t>Basel-Landschaft</t>
  </si>
  <si>
    <t>CH0012142631</t>
  </si>
  <si>
    <t>SMI Expanded - Public Market Signal Dashboard</t>
  </si>
  <si>
    <t>Demo dataset for Copilot, Cowork and Copilot Studio. Not investment advice.</t>
  </si>
  <si>
    <t>Securities</t>
  </si>
  <si>
    <t>With complete market snapshot</t>
  </si>
  <si>
    <t>Average 3M performance</t>
  </si>
  <si>
    <t>Average 6M performance</t>
  </si>
  <si>
    <t>Average 1Y performance</t>
  </si>
  <si>
    <t>Positive signals</t>
  </si>
  <si>
    <t>Negative signals</t>
  </si>
  <si>
    <t>Data notes</t>
  </si>
  <si>
    <t>The SMI itself has 20 securities. This workbook uses the SMI Expanded, which combines SMI and SMIM and contains 50 securities.</t>
  </si>
  <si>
    <t>Market performance values use the finanzen.ch snapshot dated 28 August 2026. Missing values remain blank and are not treated as zero.</t>
  </si>
  <si>
    <t>Quarterly revenue and earnings were not added because the selected index pages do not provide a consistent, comparable quarterly dataset for all 50 securities.</t>
  </si>
  <si>
    <t>Stage</t>
  </si>
  <si>
    <t>Tool</t>
  </si>
  <si>
    <t>Purpose</t>
  </si>
  <si>
    <t>English prompt</t>
  </si>
  <si>
    <t>1 - AI helps</t>
  </si>
  <si>
    <t>Copilot in Excel</t>
  </si>
  <si>
    <t>Portfolio overview</t>
  </si>
  <si>
    <t>Analyse the SMI Expanded portfolio and identify the five securities with the strongest combined momentum across the 3-month, 6-month and 1-year performance columns. Explain the ranking and clearly flag missing data.</t>
  </si>
  <si>
    <t>Sector comparison</t>
  </si>
  <si>
    <t>Compare the average 3-month, 6-month and 1-year performance by sector. Which sectors show consistent momentum and which show mixed or negative signals?</t>
  </si>
  <si>
    <t>Risk and outliers</t>
  </si>
  <si>
    <t>Identify the largest positive and negative performance outliers. Distinguish short-term daily movements from longer-term 1-year trends.</t>
  </si>
  <si>
    <t>Executive summary</t>
  </si>
  <si>
    <t>Create an executive summary for a sales leadership team. Highlight three companies with strong public-market momentum, three companies facing visible market pressure, and the data limitations. Do not interpret stock performance as a direct sales opportunity.</t>
  </si>
  <si>
    <t>2 - AI works with</t>
  </si>
  <si>
    <t>Cowork</t>
  </si>
  <si>
    <t>Account research plan</t>
  </si>
  <si>
    <t>Help me turn these public-market signals into an account research plan. Select three companies that warrant deeper research, explain the public signal, list the additional business information we would need, and propose responsible next steps. Do not make investment recommendations.</t>
  </si>
  <si>
    <t>Briefing development</t>
  </si>
  <si>
    <t>Create a concise executive account briefing for the selected company. Use only information from the workbook, separate facts from hypotheses, and include performance trend, sector context, open questions and a proposed discovery conversation.</t>
  </si>
  <si>
    <t>Copilot Studio Agent</t>
  </si>
  <si>
    <t>Next-best research action</t>
  </si>
  <si>
    <t>Which three companies should an account team research next? Use performance consistency, sector context and data completeness. For each company, provide evidence from the dataset, an open business hypothesis and the next research action.</t>
  </si>
  <si>
    <t>Watchlist</t>
  </si>
  <si>
    <t>Build a balanced watchlist with two positive-momentum companies, two negative-momentum companies and one mixed-signal company. Explain why each company belongs in the watchlist and avoid investment advice.</t>
  </si>
  <si>
    <t>90-day engagement plan</t>
  </si>
  <si>
    <t>Create a 90-day account intelligence plan for the selected company. Include public research, stakeholder mapping, hypothesis validation, discovery preparation and governance checks. Clearly separate verified facts from assumptions.</t>
  </si>
  <si>
    <t>3 - AI executes</t>
  </si>
  <si>
    <t>Foundry</t>
  </si>
  <si>
    <t>Automated monitoring</t>
  </si>
  <si>
    <t>Monitor new market and company-reporting signals, update the account intelligence record, detect material changes, generate a source-grounded briefing and route it to the responsible account team for human review.</t>
  </si>
  <si>
    <t>Source</t>
  </si>
  <si>
    <t>As of</t>
  </si>
  <si>
    <t>URL</t>
  </si>
  <si>
    <t>SIX - SMI Expanded &amp; SMIM</t>
  </si>
  <si>
    <t>Index definition and current constituent framework</t>
  </si>
  <si>
    <t>25.09.2026</t>
  </si>
  <si>
    <t>finanzen.ch - SMI Expanded list</t>
  </si>
  <si>
    <t>Prices and 3M/6M/1Y performance snapshot</t>
  </si>
  <si>
    <t>cash.ch - SMI page</t>
  </si>
  <si>
    <t>User-provided starting point; SMI page does not provide 50 constituents</t>
  </si>
  <si>
    <t>https://www.cash.ch/aktien/smi-index-swl</t>
  </si>
  <si>
    <t>Important limitation</t>
  </si>
  <si>
    <t>This dataset is suitable for demonstrating data analysis and account-intelligence workflows. Public share-price performance should not be treated as evidence of technology demand, purchasing intent or account priority without additional validated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</si>
</sst>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CHF]"/>
    <numFmt numFmtId="165" formatCode="0.0%;[Red]\(0.0%\);\-"/>
    <numFmt numFmtId="166" formatCode="0.0%"/>
  </numFmts>
  <fonts count="11">
    <font>
      <sz val="11"/>
      <color theme="1"/>
      <name val="Calibri"/>
      <family val="2"/>
      <scheme val="minor"/>
    </font>
    <font>
      <b/>
      <sz val="11"/>
      <color rgb="FFFFFFFF"/>
      <name val="Calibri"/>
    </font>
    <font>
      <sz val="11"/>
      <color rgb="FF000000"/>
      <name val="Calibri"/>
    </font>
    <font>
      <sz val="11"/>
      <color rgb="FF008000"/>
      <name val="Calibri"/>
    </font>
    <font>
      <b/>
      <sz val="20"/>
      <color rgb="FF17365D"/>
      <name val="Calibri"/>
    </font>
    <font>
      <i/>
      <sz val="11"/>
      <color rgb="FFC00000"/>
      <name val="Calibri"/>
    </font>
    <font>
      <b/>
      <sz val="11"/>
      <color rgb="FF666666"/>
      <name val="Calibri"/>
    </font>
    <font>
      <b/>
      <sz val="14"/>
      <color rgb="FF008272"/>
      <name val="Calibri"/>
    </font>
    <font>
      <b/>
      <sz val="11"/>
      <name val="Calibri"/>
    </font>
    <font>
      <b/>
      <sz val="11"/>
      <color rgb="FF0078D4"/>
      <name val="Calibri"/>
    </font>
    <font>
      <b/>
      <sz val="11"/>
      <color rgb="FFC00000"/>
      <name val="Calibri"/>
    </font>
  </fonts>
  <fills count="4">
    <fill>
      <patternFill patternType="none"/>
    </fill>
    <fill>
      <patternFill patternType="gray125"/>
    </fill>
    <fill>
      <patternFill patternType="solid">
        <fgColor rgb="FF17365D"/>
      </patternFill>
    </fill>
    <fill>
      <patternFill patternType="solid">
        <fgColor rgb="FFF4B183"/>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vertical="center" wrapText="1"/>
    </xf>
    <xf numFmtId="0" fontId="3" fillId="0" borderId="0" xfId="0" applyFont="1" applyAlignment="1">
      <alignment vertical="center"/>
    </xf>
    <xf numFmtId="164" fontId="2" fillId="0" borderId="0" xfId="0" applyNumberFormat="1" applyFont="1" applyAlignment="1">
      <alignment vertical="center"/>
    </xf>
    <xf numFmtId="165" fontId="2" fillId="0" borderId="0" xfId="0" applyNumberFormat="1" applyFont="1" applyAlignment="1">
      <alignment vertical="center"/>
    </xf>
    <xf numFmtId="0" fontId="0" fillId="0" borderId="0" xfId="0" applyAlignment="1">
      <alignment vertical="center"/>
    </xf>
    <xf numFmtId="0" fontId="4" fillId="0" borderId="0" xfId="0" applyFont="1"/>
    <xf numFmtId="0" fontId="5" fillId="0" borderId="0" xfId="0" applyFont="1"/>
    <xf numFmtId="0" fontId="6" fillId="0" borderId="0" xfId="0" applyFont="1"/>
    <xf numFmtId="0" fontId="7" fillId="0" borderId="0" xfId="0" applyFont="1"/>
    <xf numFmtId="166" fontId="7" fillId="0" borderId="0" xfId="0" applyNumberFormat="1" applyFont="1"/>
    <xf numFmtId="0" fontId="8" fillId="3" borderId="0" xfId="0" applyFont="1" applyFill="1"/>
    <xf numFmtId="0" fontId="1" fillId="2" borderId="0" xfId="0" applyFont="1" applyFill="1" applyAlignment="1">
      <alignment wrapText="1"/>
    </xf>
    <xf numFmtId="0" fontId="9" fillId="0" borderId="0" xfId="0" applyFont="1" applyAlignment="1">
      <alignment vertical="top" wrapText="1"/>
    </xf>
    <xf numFmtId="0" fontId="0" fillId="0" borderId="0" xfId="0" applyAlignment="1">
      <alignment vertical="top" wrapText="1"/>
    </xf>
    <xf numFmtId="0" fontId="1" fillId="2" borderId="0" xfId="0" applyFont="1" applyFill="1" applyAlignment="1">
      <alignment vertical="top" wrapText="1"/>
    </xf>
    <xf numFmtId="0" fontId="10" fillId="0" borderId="0" xfId="0" applyFont="1"/>
    <xf numFmtId="0" fontId="0" fillId="0" borderId="0" xfId="0" applyAlignment="1">
      <alignment wrapText="1"/>
    </xf>
    <xf numFmtId="0" fontId="0" fillId="0" borderId="0" xfId="0" applyAlignment="1">
      <alignment vertical="top"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MIExpandedPortfolio" displayName="SMIExpandedPortfolio" ref="A1:Q51">
  <autoFilter ref="A1:Q51" xr:uid="{00000000-0009-0000-0100-000001000000}"/>
  <tableColumns count="17">
    <tableColumn id="1" xr3:uid="{00000000-0010-0000-0000-000001000000}" name="Security ID"/>
    <tableColumn id="2" xr3:uid="{00000000-0010-0000-0000-000002000000}" name="Company"/>
    <tableColumn id="3" xr3:uid="{00000000-0010-0000-0000-000003000000}" name="Ticker"/>
    <tableColumn id="4" xr3:uid="{00000000-0010-0000-0000-000004000000}" name="Index"/>
    <tableColumn id="5" xr3:uid="{00000000-0010-0000-0000-000005000000}" name="Sector"/>
    <tableColumn id="6" xr3:uid="{00000000-0010-0000-0000-000006000000}" name="Canton"/>
    <tableColumn id="7" xr3:uid="{00000000-0010-0000-0000-000007000000}" name="ISIN"/>
    <tableColumn id="8" xr3:uid="{00000000-0010-0000-0000-000008000000}" name="Price (CHF)"/>
    <tableColumn id="9" xr3:uid="{00000000-0010-0000-0000-000009000000}" name="Daily Perf."/>
    <tableColumn id="10" xr3:uid="{00000000-0010-0000-0000-00000A000000}" name="3M Perf."/>
    <tableColumn id="11" xr3:uid="{00000000-0010-0000-0000-00000B000000}" name="6M Perf."/>
    <tableColumn id="12" xr3:uid="{00000000-0010-0000-0000-00000C000000}" name="1Y Perf."/>
    <tableColumn id="13" xr3:uid="{00000000-0010-0000-0000-00000D000000}" name="Momentum Score"/>
    <tableColumn id="14" xr3:uid="{00000000-0010-0000-0000-00000E000000}" name="Signal"/>
    <tableColumn id="15" xr3:uid="{00000000-0010-0000-0000-00000F000000}" name="Market Data Date"/>
    <tableColumn id="16" xr3:uid="{00000000-0010-0000-0000-000010000000}" name="Data Coverage"/>
    <tableColumn id="17" xr3:uid="{00000000-0010-0000-0000-000011000000}" name="Source 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mptLibrary" displayName="PromptLibrary" ref="A1:D11">
  <autoFilter ref="A1:D11" xr:uid="{00000000-0009-0000-0100-000002000000}"/>
  <tableColumns count="4">
    <tableColumn id="1" xr3:uid="{00000000-0010-0000-0100-000001000000}" name="Stage"/>
    <tableColumn id="2" xr3:uid="{00000000-0010-0000-0100-000002000000}" name="Tool"/>
    <tableColumn id="3" xr3:uid="{00000000-0010-0000-0100-000003000000}" name="Purpose"/>
    <tableColumn id="4" xr3:uid="{00000000-0010-0000-0100-000004000000}" name="English prom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showGridLines="0" tabSelected="1" workbookViewId="0">
      <pane ySplit="1" topLeftCell="A2" activePane="bottomLeft" state="frozen"/>
      <selection pane="bottomLeft"/>
    </sheetView>
  </sheetViews>
  <sheetFormatPr defaultRowHeight="15"/>
  <cols>
    <col min="1" max="1" width="12" customWidth="1"/>
    <col min="2" max="2" width="36" customWidth="1"/>
    <col min="3" max="3" width="11" customWidth="1"/>
    <col min="4" max="4" width="12" customWidth="1"/>
    <col min="5" max="5" width="24" customWidth="1"/>
    <col min="6" max="7" width="18" customWidth="1"/>
    <col min="8" max="8" width="14" customWidth="1"/>
    <col min="9" max="12" width="13" customWidth="1"/>
    <col min="13" max="13" width="16" customWidth="1"/>
    <col min="14" max="14" width="14" customWidth="1"/>
    <col min="15" max="15" width="18" customWidth="1"/>
    <col min="16" max="16" width="25" customWidth="1"/>
    <col min="17" max="17" width="66" customWidth="1"/>
  </cols>
  <sheetData>
    <row r="1" spans="1:17" ht="33.950000000000003"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s="2" t="s">
        <v>18</v>
      </c>
      <c r="C2" s="2" t="s">
        <v>19</v>
      </c>
      <c r="D2" s="2" t="s">
        <v>20</v>
      </c>
      <c r="E2" s="2" t="s">
        <v>21</v>
      </c>
      <c r="F2" s="2" t="s">
        <v>22</v>
      </c>
      <c r="G2" s="2" t="s">
        <v>23</v>
      </c>
      <c r="H2" s="3">
        <v>123.74</v>
      </c>
      <c r="I2" s="4">
        <v>-7.1999999999999998E-3</v>
      </c>
      <c r="J2" s="4">
        <v>6.3600000000000004E-2</v>
      </c>
      <c r="K2" s="4">
        <v>-2.5399999999999999E-2</v>
      </c>
      <c r="L2" s="4">
        <v>0.24709999999999999</v>
      </c>
      <c r="M2" s="4">
        <f>IF(COUNT(I2:L2)=0,"",I2*0.05+J2*0.2+K2*0.3+L2*0.45)</f>
        <v>0.11593500000000001</v>
      </c>
      <c r="N2" s="5" t="str">
        <f>IF(M2="","Data missing",IF(M2&gt;=20,"Positive",IF(M2&lt;=-10,"Negative","Mixed")))</f>
        <v>Mixed</v>
      </c>
      <c r="O2" s="2" t="s">
        <v>24</v>
      </c>
      <c r="P2" s="2" t="s">
        <v>25</v>
      </c>
      <c r="Q2" s="2" t="s">
        <v>26</v>
      </c>
    </row>
    <row r="3" spans="1:17">
      <c r="A3" s="2" t="s">
        <v>27</v>
      </c>
      <c r="B3" s="2" t="s">
        <v>28</v>
      </c>
      <c r="C3" s="2" t="s">
        <v>29</v>
      </c>
      <c r="D3" s="2" t="s">
        <v>20</v>
      </c>
      <c r="E3" s="2" t="s">
        <v>21</v>
      </c>
      <c r="F3" s="2" t="s">
        <v>22</v>
      </c>
      <c r="G3" s="2" t="s">
        <v>30</v>
      </c>
      <c r="H3" s="3">
        <v>358.7</v>
      </c>
      <c r="I3" s="4">
        <v>-1.46E-2</v>
      </c>
      <c r="J3" s="4">
        <v>0.113</v>
      </c>
      <c r="K3" s="4">
        <v>3.5000000000000001E-3</v>
      </c>
      <c r="L3" s="4">
        <v>0.40250000000000002</v>
      </c>
      <c r="M3" s="4">
        <f>IF(COUNT(I3:L3)=0,"",I3*0.05+J3*0.2+K3*0.3+L3*0.45)</f>
        <v>0.204045</v>
      </c>
      <c r="N3" s="5" t="str">
        <f>IF(M3="","Data missing",IF(M3&gt;=20,"Positive",IF(M3&lt;=-10,"Negative","Mixed")))</f>
        <v>Mixed</v>
      </c>
      <c r="O3" s="2" t="s">
        <v>24</v>
      </c>
      <c r="P3" s="2" t="s">
        <v>25</v>
      </c>
      <c r="Q3" s="2" t="s">
        <v>26</v>
      </c>
    </row>
    <row r="4" spans="1:17">
      <c r="A4" s="2" t="s">
        <v>31</v>
      </c>
      <c r="B4" s="2" t="s">
        <v>28</v>
      </c>
      <c r="C4" s="2" t="s">
        <v>32</v>
      </c>
      <c r="D4" s="2" t="s">
        <v>33</v>
      </c>
      <c r="E4" s="2" t="s">
        <v>21</v>
      </c>
      <c r="F4" s="2" t="s">
        <v>22</v>
      </c>
      <c r="G4" s="2" t="s">
        <v>34</v>
      </c>
      <c r="H4" s="3">
        <v>366</v>
      </c>
      <c r="I4" s="4">
        <v>-2.0299999999999999E-2</v>
      </c>
      <c r="J4" s="4">
        <v>0.1149</v>
      </c>
      <c r="K4" s="4">
        <v>-1.49E-2</v>
      </c>
      <c r="L4" s="4">
        <v>0.36320000000000002</v>
      </c>
      <c r="M4" s="4">
        <f>IF(COUNT(I4:L4)=0,"",I4*0.05+J4*0.2+K4*0.3+L4*0.45)</f>
        <v>0.18093500000000001</v>
      </c>
      <c r="N4" s="5" t="str">
        <f>IF(M4="","Data missing",IF(M4&gt;=20,"Positive",IF(M4&lt;=-10,"Negative","Mixed")))</f>
        <v>Mixed</v>
      </c>
      <c r="O4" s="2" t="s">
        <v>24</v>
      </c>
      <c r="P4" s="2" t="s">
        <v>25</v>
      </c>
      <c r="Q4" s="2" t="s">
        <v>26</v>
      </c>
    </row>
    <row r="5" spans="1:17">
      <c r="A5" s="2" t="s">
        <v>35</v>
      </c>
      <c r="B5" s="2" t="s">
        <v>36</v>
      </c>
      <c r="C5" s="2" t="s">
        <v>37</v>
      </c>
      <c r="D5" s="2" t="s">
        <v>20</v>
      </c>
      <c r="E5" s="2" t="s">
        <v>38</v>
      </c>
      <c r="F5" s="2" t="s">
        <v>39</v>
      </c>
      <c r="G5" s="2" t="s">
        <v>40</v>
      </c>
      <c r="H5" s="3">
        <v>78.62</v>
      </c>
      <c r="I5" s="4">
        <v>1.2999999999999999E-3</v>
      </c>
      <c r="J5" s="4">
        <v>-1.4800000000000001E-2</v>
      </c>
      <c r="K5" s="4">
        <v>-4.8899999999999999E-2</v>
      </c>
      <c r="L5" s="4">
        <v>7.7100000000000002E-2</v>
      </c>
      <c r="M5" s="4">
        <f>IF(COUNT(I5:L5)=0,"",I5*0.05+J5*0.2+K5*0.3+L5*0.45)</f>
        <v>1.7130000000000003E-2</v>
      </c>
      <c r="N5" s="5" t="str">
        <f>IF(M5="","Data missing",IF(M5&gt;=20,"Positive",IF(M5&lt;=-10,"Negative","Mixed")))</f>
        <v>Mixed</v>
      </c>
      <c r="O5" s="2" t="s">
        <v>24</v>
      </c>
      <c r="P5" s="2" t="s">
        <v>25</v>
      </c>
      <c r="Q5" s="2" t="s">
        <v>26</v>
      </c>
    </row>
    <row r="6" spans="1:17">
      <c r="A6" s="2" t="s">
        <v>41</v>
      </c>
      <c r="B6" s="2" t="s">
        <v>42</v>
      </c>
      <c r="C6" s="2" t="s">
        <v>43</v>
      </c>
      <c r="D6" s="2" t="s">
        <v>20</v>
      </c>
      <c r="E6" s="2" t="s">
        <v>44</v>
      </c>
      <c r="F6" s="2" t="s">
        <v>45</v>
      </c>
      <c r="G6" s="2" t="s">
        <v>46</v>
      </c>
      <c r="H6" s="3">
        <v>80.099999999999994</v>
      </c>
      <c r="I6" s="4">
        <v>1.03E-2</v>
      </c>
      <c r="J6" s="4">
        <v>-4.7600000000000003E-2</v>
      </c>
      <c r="K6" s="4">
        <v>0.10970000000000001</v>
      </c>
      <c r="L6" s="4">
        <v>0.48139999999999999</v>
      </c>
      <c r="M6" s="4">
        <f>IF(COUNT(I6:L6)=0,"",I6*0.05+J6*0.2+K6*0.3+L6*0.45)</f>
        <v>0.240535</v>
      </c>
      <c r="N6" s="5" t="str">
        <f>IF(M6="","Data missing",IF(M6&gt;=20,"Positive",IF(M6&lt;=-10,"Negative","Mixed")))</f>
        <v>Mixed</v>
      </c>
      <c r="O6" s="2" t="s">
        <v>24</v>
      </c>
      <c r="P6" s="2" t="s">
        <v>25</v>
      </c>
      <c r="Q6" s="2" t="s">
        <v>26</v>
      </c>
    </row>
    <row r="7" spans="1:17">
      <c r="A7" s="2" t="s">
        <v>47</v>
      </c>
      <c r="B7" s="2" t="s">
        <v>48</v>
      </c>
      <c r="C7" s="2" t="s">
        <v>49</v>
      </c>
      <c r="D7" s="2" t="s">
        <v>20</v>
      </c>
      <c r="E7" s="2" t="s">
        <v>50</v>
      </c>
      <c r="F7" s="2" t="s">
        <v>51</v>
      </c>
      <c r="G7" s="2" t="s">
        <v>52</v>
      </c>
      <c r="H7" s="3">
        <v>44.53</v>
      </c>
      <c r="I7" s="4">
        <v>1.67E-2</v>
      </c>
      <c r="J7" s="4">
        <v>0.1855</v>
      </c>
      <c r="K7" s="4">
        <v>0.37140000000000001</v>
      </c>
      <c r="L7" s="4">
        <v>0.35749999999999998</v>
      </c>
      <c r="M7" s="4">
        <f>IF(COUNT(I7:L7)=0,"",I7*0.05+J7*0.2+K7*0.3+L7*0.45)</f>
        <v>0.31023000000000001</v>
      </c>
      <c r="N7" s="5" t="str">
        <f>IF(M7="","Data missing",IF(M7&gt;=20,"Positive",IF(M7&lt;=-10,"Negative","Mixed")))</f>
        <v>Mixed</v>
      </c>
      <c r="O7" s="2" t="s">
        <v>24</v>
      </c>
      <c r="P7" s="2" t="s">
        <v>25</v>
      </c>
      <c r="Q7" s="2" t="s">
        <v>26</v>
      </c>
    </row>
    <row r="8" spans="1:17">
      <c r="A8" s="2" t="s">
        <v>53</v>
      </c>
      <c r="B8" s="2" t="s">
        <v>54</v>
      </c>
      <c r="C8" s="2" t="s">
        <v>55</v>
      </c>
      <c r="D8" s="2" t="s">
        <v>20</v>
      </c>
      <c r="E8" s="2" t="s">
        <v>56</v>
      </c>
      <c r="F8" s="2" t="s">
        <v>57</v>
      </c>
      <c r="G8" s="2" t="s">
        <v>58</v>
      </c>
      <c r="H8" s="3">
        <v>194.55</v>
      </c>
      <c r="I8" s="4">
        <v>1.83E-2</v>
      </c>
      <c r="J8" s="4">
        <v>0.15229999999999999</v>
      </c>
      <c r="K8" s="4">
        <v>0.21460000000000001</v>
      </c>
      <c r="L8" s="4">
        <v>0.37459999999999999</v>
      </c>
      <c r="M8" s="4">
        <f>IF(COUNT(I8:L8)=0,"",I8*0.05+J8*0.2+K8*0.3+L8*0.45)</f>
        <v>0.26432500000000003</v>
      </c>
      <c r="N8" s="5" t="str">
        <f>IF(M8="","Data missing",IF(M8&gt;=20,"Positive",IF(M8&lt;=-10,"Negative","Mixed")))</f>
        <v>Mixed</v>
      </c>
      <c r="O8" s="2" t="s">
        <v>24</v>
      </c>
      <c r="P8" s="2" t="s">
        <v>25</v>
      </c>
      <c r="Q8" s="2" t="s">
        <v>26</v>
      </c>
    </row>
    <row r="9" spans="1:17">
      <c r="A9" s="2" t="s">
        <v>59</v>
      </c>
      <c r="B9" s="2" t="s">
        <v>60</v>
      </c>
      <c r="C9" s="2" t="s">
        <v>61</v>
      </c>
      <c r="D9" s="2" t="s">
        <v>20</v>
      </c>
      <c r="E9" s="2" t="s">
        <v>50</v>
      </c>
      <c r="F9" s="2" t="s">
        <v>45</v>
      </c>
      <c r="G9" s="2" t="s">
        <v>62</v>
      </c>
      <c r="H9" s="3">
        <v>593.79999999999995</v>
      </c>
      <c r="I9" s="4">
        <v>5.1000000000000004E-3</v>
      </c>
      <c r="J9" s="4">
        <v>5.2499999999999998E-2</v>
      </c>
      <c r="K9" s="4">
        <v>2.9600000000000001E-2</v>
      </c>
      <c r="L9" s="4">
        <v>2.93E-2</v>
      </c>
      <c r="M9" s="4">
        <f>IF(COUNT(I9:L9)=0,"",I9*0.05+J9*0.2+K9*0.3+L9*0.45)</f>
        <v>3.2820000000000002E-2</v>
      </c>
      <c r="N9" s="5" t="str">
        <f>IF(M9="","Data missing",IF(M9&gt;=20,"Positive",IF(M9&lt;=-10,"Negative","Mixed")))</f>
        <v>Mixed</v>
      </c>
      <c r="O9" s="2" t="s">
        <v>24</v>
      </c>
      <c r="P9" s="2" t="s">
        <v>25</v>
      </c>
      <c r="Q9" s="2" t="s">
        <v>26</v>
      </c>
    </row>
    <row r="10" spans="1:17">
      <c r="A10" s="2" t="s">
        <v>63</v>
      </c>
      <c r="B10" s="2" t="s">
        <v>64</v>
      </c>
      <c r="C10" s="2" t="s">
        <v>65</v>
      </c>
      <c r="D10" s="2" t="s">
        <v>20</v>
      </c>
      <c r="E10" s="2" t="s">
        <v>66</v>
      </c>
      <c r="F10" s="2" t="s">
        <v>67</v>
      </c>
      <c r="G10" s="2" t="s">
        <v>68</v>
      </c>
      <c r="H10" s="3">
        <v>73.02</v>
      </c>
      <c r="I10" s="4">
        <v>3.5999999999999999E-3</v>
      </c>
      <c r="J10" s="4">
        <v>-3.9300000000000002E-2</v>
      </c>
      <c r="K10" s="4">
        <v>4.1200000000000001E-2</v>
      </c>
      <c r="L10" s="4">
        <v>0.10979999999999999</v>
      </c>
      <c r="M10" s="4">
        <f>IF(COUNT(I10:L10)=0,"",I10*0.05+J10*0.2+K10*0.3+L10*0.45)</f>
        <v>5.4089999999999992E-2</v>
      </c>
      <c r="N10" s="5" t="str">
        <f>IF(M10="","Data missing",IF(M10&gt;=20,"Positive",IF(M10&lt;=-10,"Negative","Mixed")))</f>
        <v>Mixed</v>
      </c>
      <c r="O10" s="2" t="s">
        <v>24</v>
      </c>
      <c r="P10" s="2" t="s">
        <v>25</v>
      </c>
      <c r="Q10" s="2" t="s">
        <v>26</v>
      </c>
    </row>
    <row r="11" spans="1:17">
      <c r="A11" s="2" t="s">
        <v>69</v>
      </c>
      <c r="B11" s="2" t="s">
        <v>70</v>
      </c>
      <c r="C11" s="2" t="s">
        <v>71</v>
      </c>
      <c r="D11" s="2" t="s">
        <v>20</v>
      </c>
      <c r="E11" s="2" t="s">
        <v>21</v>
      </c>
      <c r="F11" s="2" t="s">
        <v>22</v>
      </c>
      <c r="G11" s="2" t="s">
        <v>72</v>
      </c>
      <c r="H11" s="3">
        <v>583.79999999999995</v>
      </c>
      <c r="I11" s="4">
        <v>-7.8000000000000014E-3</v>
      </c>
      <c r="J11" s="4">
        <v>0.1832</v>
      </c>
      <c r="K11" s="4">
        <v>9.6199999999999994E-2</v>
      </c>
      <c r="L11" s="4">
        <v>2.69E-2</v>
      </c>
      <c r="M11" s="4">
        <f>IF(COUNT(I11:L11)=0,"",I11*0.05+J11*0.2+K11*0.3+L11*0.45)</f>
        <v>7.7215000000000006E-2</v>
      </c>
      <c r="N11" s="5" t="str">
        <f>IF(M11="","Data missing",IF(M11&gt;=20,"Positive",IF(M11&lt;=-10,"Negative","Mixed")))</f>
        <v>Mixed</v>
      </c>
      <c r="O11" s="2" t="s">
        <v>24</v>
      </c>
      <c r="P11" s="2" t="s">
        <v>25</v>
      </c>
      <c r="Q11" s="2" t="s">
        <v>26</v>
      </c>
    </row>
    <row r="12" spans="1:17">
      <c r="A12" s="2" t="s">
        <v>73</v>
      </c>
      <c r="B12" s="2" t="s">
        <v>74</v>
      </c>
      <c r="C12" s="2" t="s">
        <v>75</v>
      </c>
      <c r="D12" s="2" t="s">
        <v>20</v>
      </c>
      <c r="E12" s="2" t="s">
        <v>50</v>
      </c>
      <c r="F12" s="2" t="s">
        <v>45</v>
      </c>
      <c r="G12" s="2" t="s">
        <v>76</v>
      </c>
      <c r="H12" s="3">
        <v>141.15</v>
      </c>
      <c r="I12" s="4">
        <v>8.6E-3</v>
      </c>
      <c r="J12" s="4">
        <v>0.18029999999999999</v>
      </c>
      <c r="K12" s="4">
        <v>3.7499999999999999E-2</v>
      </c>
      <c r="L12" s="4">
        <v>-2.7199999999999998E-2</v>
      </c>
      <c r="M12" s="4">
        <f>IF(COUNT(I12:L12)=0,"",I12*0.05+J12*0.2+K12*0.3+L12*0.45)</f>
        <v>3.5500000000000004E-2</v>
      </c>
      <c r="N12" s="5" t="str">
        <f>IF(M12="","Data missing",IF(M12&gt;=20,"Positive",IF(M12&lt;=-10,"Negative","Mixed")))</f>
        <v>Mixed</v>
      </c>
      <c r="O12" s="2" t="s">
        <v>24</v>
      </c>
      <c r="P12" s="2" t="s">
        <v>25</v>
      </c>
      <c r="Q12" s="2" t="s">
        <v>26</v>
      </c>
    </row>
    <row r="13" spans="1:17">
      <c r="A13" s="2" t="s">
        <v>77</v>
      </c>
      <c r="B13" s="2" t="s">
        <v>78</v>
      </c>
      <c r="C13" s="2" t="s">
        <v>79</v>
      </c>
      <c r="D13" s="2" t="s">
        <v>20</v>
      </c>
      <c r="E13" s="2" t="s">
        <v>56</v>
      </c>
      <c r="F13" s="2" t="s">
        <v>57</v>
      </c>
      <c r="G13" s="2" t="s">
        <v>80</v>
      </c>
      <c r="H13" s="3">
        <v>3322</v>
      </c>
      <c r="I13" s="4">
        <v>1.47E-2</v>
      </c>
      <c r="J13" s="4">
        <v>0.14849999999999999</v>
      </c>
      <c r="K13" s="4">
        <v>9.0899999999999995E-2</v>
      </c>
      <c r="L13" s="4">
        <v>-1.8E-3</v>
      </c>
      <c r="M13" s="4">
        <f>IF(COUNT(I13:L13)=0,"",I13*0.05+J13*0.2+K13*0.3+L13*0.45)</f>
        <v>5.6895000000000001E-2</v>
      </c>
      <c r="N13" s="5" t="str">
        <f>IF(M13="","Data missing",IF(M13&gt;=20,"Positive",IF(M13&lt;=-10,"Negative","Mixed")))</f>
        <v>Mixed</v>
      </c>
      <c r="O13" s="2" t="s">
        <v>24</v>
      </c>
      <c r="P13" s="2" t="s">
        <v>25</v>
      </c>
      <c r="Q13" s="2" t="s">
        <v>26</v>
      </c>
    </row>
    <row r="14" spans="1:17">
      <c r="A14" s="2" t="s">
        <v>81</v>
      </c>
      <c r="B14" s="2" t="s">
        <v>82</v>
      </c>
      <c r="C14" s="2" t="s">
        <v>83</v>
      </c>
      <c r="D14" s="2" t="s">
        <v>20</v>
      </c>
      <c r="E14" s="2" t="s">
        <v>84</v>
      </c>
      <c r="F14" s="2" t="s">
        <v>85</v>
      </c>
      <c r="G14" s="2" t="s">
        <v>86</v>
      </c>
      <c r="H14" s="3">
        <v>629</v>
      </c>
      <c r="I14" s="4">
        <v>4.0000000000000001E-3</v>
      </c>
      <c r="J14" s="4">
        <v>-4.7899999999999998E-2</v>
      </c>
      <c r="K14" s="4">
        <v>-0.1178</v>
      </c>
      <c r="L14" s="4">
        <v>7.6100000000000001E-2</v>
      </c>
      <c r="M14" s="4">
        <f>IF(COUNT(I14:L14)=0,"",I14*0.05+J14*0.2+K14*0.3+L14*0.45)</f>
        <v>-1.0474999999999991E-2</v>
      </c>
      <c r="N14" s="5" t="str">
        <f>IF(M14="","Data missing",IF(M14&gt;=20,"Positive",IF(M14&lt;=-10,"Negative","Mixed")))</f>
        <v>Mixed</v>
      </c>
      <c r="O14" s="2" t="s">
        <v>24</v>
      </c>
      <c r="P14" s="2" t="s">
        <v>25</v>
      </c>
      <c r="Q14" s="2" t="s">
        <v>26</v>
      </c>
    </row>
    <row r="15" spans="1:17">
      <c r="A15" s="2" t="s">
        <v>87</v>
      </c>
      <c r="B15" s="2" t="s">
        <v>88</v>
      </c>
      <c r="C15" s="2" t="s">
        <v>89</v>
      </c>
      <c r="D15" s="2" t="s">
        <v>20</v>
      </c>
      <c r="E15" s="2" t="s">
        <v>66</v>
      </c>
      <c r="F15" s="2" t="s">
        <v>90</v>
      </c>
      <c r="G15" s="2" t="s">
        <v>91</v>
      </c>
      <c r="H15" s="3">
        <v>193</v>
      </c>
      <c r="I15" s="4">
        <v>7.6E-3</v>
      </c>
      <c r="J15" s="4">
        <v>0.25800000000000001</v>
      </c>
      <c r="K15" s="4">
        <v>0.2107</v>
      </c>
      <c r="L15" s="4">
        <v>3.4000000000000002E-2</v>
      </c>
      <c r="M15" s="4">
        <f>IF(COUNT(I15:L15)=0,"",I15*0.05+J15*0.2+K15*0.3+L15*0.45)</f>
        <v>0.13049000000000002</v>
      </c>
      <c r="N15" s="5" t="str">
        <f>IF(M15="","Data missing",IF(M15&gt;=20,"Positive",IF(M15&lt;=-10,"Negative","Mixed")))</f>
        <v>Mixed</v>
      </c>
      <c r="O15" s="2" t="s">
        <v>24</v>
      </c>
      <c r="P15" s="2" t="s">
        <v>25</v>
      </c>
      <c r="Q15" s="2" t="s">
        <v>26</v>
      </c>
    </row>
    <row r="16" spans="1:17">
      <c r="A16" s="2" t="s">
        <v>92</v>
      </c>
      <c r="B16" s="2" t="s">
        <v>93</v>
      </c>
      <c r="C16" s="2" t="s">
        <v>94</v>
      </c>
      <c r="D16" s="2" t="s">
        <v>20</v>
      </c>
      <c r="E16" s="2" t="s">
        <v>21</v>
      </c>
      <c r="F16" s="2" t="s">
        <v>95</v>
      </c>
      <c r="G16" s="2" t="s">
        <v>96</v>
      </c>
      <c r="H16" s="3">
        <v>57.9</v>
      </c>
      <c r="I16" s="4">
        <v>-9.5999999999999992E-3</v>
      </c>
      <c r="J16" s="4">
        <v>0.11070000000000001</v>
      </c>
      <c r="K16" s="4">
        <v>-0.1235</v>
      </c>
      <c r="L16" s="4">
        <v>-0.10589999999999999</v>
      </c>
      <c r="M16" s="4">
        <f>IF(COUNT(I16:L16)=0,"",I16*0.05+J16*0.2+K16*0.3+L16*0.45)</f>
        <v>-6.304499999999999E-2</v>
      </c>
      <c r="N16" s="5" t="str">
        <f>IF(M16="","Data missing",IF(M16&gt;=20,"Positive",IF(M16&lt;=-10,"Negative","Mixed")))</f>
        <v>Mixed</v>
      </c>
      <c r="O16" s="2" t="s">
        <v>24</v>
      </c>
      <c r="P16" s="2" t="s">
        <v>25</v>
      </c>
      <c r="Q16" s="2" t="s">
        <v>26</v>
      </c>
    </row>
    <row r="17" spans="1:17">
      <c r="A17" s="2" t="s">
        <v>97</v>
      </c>
      <c r="B17" s="2" t="s">
        <v>98</v>
      </c>
      <c r="C17" s="2" t="s">
        <v>99</v>
      </c>
      <c r="D17" s="2" t="s">
        <v>20</v>
      </c>
      <c r="E17" s="2" t="s">
        <v>50</v>
      </c>
      <c r="F17" s="2" t="s">
        <v>45</v>
      </c>
      <c r="G17" s="2" t="s">
        <v>100</v>
      </c>
      <c r="H17" s="3">
        <v>921.4</v>
      </c>
      <c r="I17" s="4">
        <v>3.8999999999999998E-3</v>
      </c>
      <c r="J17" s="4">
        <v>0.06</v>
      </c>
      <c r="K17" s="4">
        <v>4.6699999999999998E-2</v>
      </c>
      <c r="L17" s="4">
        <v>5.2499999999999998E-2</v>
      </c>
      <c r="M17" s="4">
        <f>IF(COUNT(I17:L17)=0,"",I17*0.05+J17*0.2+K17*0.3+L17*0.45)</f>
        <v>4.9829999999999999E-2</v>
      </c>
      <c r="N17" s="5" t="str">
        <f>IF(M17="","Data missing",IF(M17&gt;=20,"Positive",IF(M17&lt;=-10,"Negative","Mixed")))</f>
        <v>Mixed</v>
      </c>
      <c r="O17" s="2" t="s">
        <v>24</v>
      </c>
      <c r="P17" s="2" t="s">
        <v>25</v>
      </c>
      <c r="Q17" s="2" t="s">
        <v>26</v>
      </c>
    </row>
    <row r="18" spans="1:17">
      <c r="A18" s="2" t="s">
        <v>101</v>
      </c>
      <c r="B18" s="2" t="s">
        <v>102</v>
      </c>
      <c r="C18" s="2" t="s">
        <v>103</v>
      </c>
      <c r="D18" s="2" t="s">
        <v>20</v>
      </c>
      <c r="E18" s="2" t="s">
        <v>44</v>
      </c>
      <c r="F18" s="2" t="s">
        <v>104</v>
      </c>
      <c r="G18" s="2" t="s">
        <v>105</v>
      </c>
      <c r="H18" s="3">
        <v>219.9</v>
      </c>
      <c r="I18" s="4">
        <v>1.34E-2</v>
      </c>
      <c r="J18" s="4">
        <v>0.25080000000000002</v>
      </c>
      <c r="K18" s="4">
        <v>0.23169999999999999</v>
      </c>
      <c r="L18" s="4">
        <v>0.31569999999999998</v>
      </c>
      <c r="M18" s="4">
        <f>IF(COUNT(I18:L18)=0,"",I18*0.05+J18*0.2+K18*0.3+L18*0.45)</f>
        <v>0.262405</v>
      </c>
      <c r="N18" s="5" t="str">
        <f>IF(M18="","Data missing",IF(M18&gt;=20,"Positive",IF(M18&lt;=-10,"Negative","Mixed")))</f>
        <v>Mixed</v>
      </c>
      <c r="O18" s="2" t="s">
        <v>24</v>
      </c>
      <c r="P18" s="2" t="s">
        <v>25</v>
      </c>
      <c r="Q18" s="2" t="s">
        <v>26</v>
      </c>
    </row>
    <row r="19" spans="1:17">
      <c r="A19" s="2" t="s">
        <v>106</v>
      </c>
      <c r="B19" s="2" t="s">
        <v>107</v>
      </c>
      <c r="C19" s="2" t="s">
        <v>108</v>
      </c>
      <c r="D19" s="2" t="s">
        <v>20</v>
      </c>
      <c r="E19" s="2" t="s">
        <v>50</v>
      </c>
      <c r="F19" s="2" t="s">
        <v>90</v>
      </c>
      <c r="G19" s="2" t="s">
        <v>109</v>
      </c>
      <c r="H19" s="3">
        <v>749.4</v>
      </c>
      <c r="I19" s="4">
        <v>-3.2000000000000002E-3</v>
      </c>
      <c r="J19" s="4">
        <v>-0.1386</v>
      </c>
      <c r="K19" s="4">
        <v>-0.1421</v>
      </c>
      <c r="L19" s="4">
        <v>-0.33939999999999998</v>
      </c>
      <c r="M19" s="4">
        <f>IF(COUNT(I19:L19)=0,"",I19*0.05+J19*0.2+K19*0.3+L19*0.45)</f>
        <v>-0.22323999999999999</v>
      </c>
      <c r="N19" s="5" t="str">
        <f>IF(M19="","Data missing",IF(M19&gt;=20,"Positive",IF(M19&lt;=-10,"Negative","Mixed")))</f>
        <v>Mixed</v>
      </c>
      <c r="O19" s="2" t="s">
        <v>24</v>
      </c>
      <c r="P19" s="2" t="s">
        <v>25</v>
      </c>
      <c r="Q19" s="2" t="s">
        <v>26</v>
      </c>
    </row>
    <row r="20" spans="1:17">
      <c r="A20" s="2" t="s">
        <v>110</v>
      </c>
      <c r="B20" s="2" t="s">
        <v>111</v>
      </c>
      <c r="C20" s="2" t="s">
        <v>112</v>
      </c>
      <c r="D20" s="2" t="s">
        <v>20</v>
      </c>
      <c r="E20" s="2" t="s">
        <v>44</v>
      </c>
      <c r="F20" s="2" t="s">
        <v>67</v>
      </c>
      <c r="G20" s="2" t="s">
        <v>113</v>
      </c>
      <c r="H20" s="3">
        <v>577.79999999999995</v>
      </c>
      <c r="I20" s="4">
        <v>7.000000000000001E-4</v>
      </c>
      <c r="J20" s="4">
        <v>0.1525</v>
      </c>
      <c r="K20" s="4">
        <v>-9.4800000000000009E-2</v>
      </c>
      <c r="L20" s="4">
        <v>-1.61E-2</v>
      </c>
      <c r="M20" s="4">
        <f>IF(COUNT(I20:L20)=0,"",I20*0.05+J20*0.2+K20*0.3+L20*0.45)</f>
        <v>-5.1500000000000001E-3</v>
      </c>
      <c r="N20" s="5" t="str">
        <f>IF(M20="","Data missing",IF(M20&gt;=20,"Positive",IF(M20&lt;=-10,"Negative","Mixed")))</f>
        <v>Mixed</v>
      </c>
      <c r="O20" s="2" t="s">
        <v>24</v>
      </c>
      <c r="P20" s="2" t="s">
        <v>25</v>
      </c>
      <c r="Q20" s="2" t="s">
        <v>26</v>
      </c>
    </row>
    <row r="21" spans="1:17">
      <c r="A21" s="2" t="s">
        <v>114</v>
      </c>
      <c r="B21" s="2" t="s">
        <v>115</v>
      </c>
      <c r="C21" s="2" t="s">
        <v>116</v>
      </c>
      <c r="D21" s="2" t="s">
        <v>20</v>
      </c>
      <c r="E21" s="2" t="s">
        <v>117</v>
      </c>
      <c r="F21" s="2" t="s">
        <v>39</v>
      </c>
      <c r="G21" s="2" t="s">
        <v>118</v>
      </c>
      <c r="H21" s="3">
        <v>79.88</v>
      </c>
      <c r="I21" s="4">
        <v>8.6E-3</v>
      </c>
      <c r="J21" s="4">
        <v>-7.6499999999999999E-2</v>
      </c>
      <c r="K21" s="4">
        <v>0.1285</v>
      </c>
      <c r="L21" s="4">
        <v>-3.1699999999999999E-2</v>
      </c>
      <c r="M21" s="4">
        <f>IF(COUNT(I21:L21)=0,"",I21*0.05+J21*0.2+K21*0.3+L21*0.45)</f>
        <v>9.4149999999999998E-3</v>
      </c>
      <c r="N21" s="5" t="str">
        <f>IF(M21="","Data missing",IF(M21&gt;=20,"Positive",IF(M21&lt;=-10,"Negative","Mixed")))</f>
        <v>Mixed</v>
      </c>
      <c r="O21" s="2" t="s">
        <v>24</v>
      </c>
      <c r="P21" s="2" t="s">
        <v>25</v>
      </c>
      <c r="Q21" s="2" t="s">
        <v>26</v>
      </c>
    </row>
    <row r="22" spans="1:17">
      <c r="A22" s="2" t="s">
        <v>119</v>
      </c>
      <c r="B22" s="2" t="s">
        <v>120</v>
      </c>
      <c r="C22" s="2" t="s">
        <v>121</v>
      </c>
      <c r="D22" s="2" t="s">
        <v>20</v>
      </c>
      <c r="E22" s="2" t="s">
        <v>66</v>
      </c>
      <c r="F22" s="2" t="s">
        <v>90</v>
      </c>
      <c r="G22" s="2"/>
      <c r="H22" s="3"/>
      <c r="I22" s="4"/>
      <c r="J22" s="4"/>
      <c r="K22" s="4"/>
      <c r="L22" s="4"/>
      <c r="M22" s="4" t="str">
        <f>IF(COUNT(I22:L22)=0,"",I22*0.05+J22*0.2+K22*0.3+L22*0.45)</f>
        <v/>
      </c>
      <c r="N22" s="5" t="str">
        <f>IF(M22="","Data missing",IF(M22&gt;=20,"Positive",IF(M22&lt;=-10,"Negative","Mixed")))</f>
        <v>Data missing</v>
      </c>
      <c r="O22" s="2"/>
      <c r="P22" s="2" t="s">
        <v>122</v>
      </c>
      <c r="Q22" s="2" t="s">
        <v>123</v>
      </c>
    </row>
    <row r="23" spans="1:17">
      <c r="A23" s="2" t="s">
        <v>124</v>
      </c>
      <c r="B23" s="2" t="s">
        <v>125</v>
      </c>
      <c r="C23" s="2" t="s">
        <v>126</v>
      </c>
      <c r="D23" s="2" t="s">
        <v>33</v>
      </c>
      <c r="E23" s="2" t="s">
        <v>21</v>
      </c>
      <c r="F23" s="2" t="s">
        <v>90</v>
      </c>
      <c r="G23" s="2"/>
      <c r="H23" s="3"/>
      <c r="I23" s="4"/>
      <c r="J23" s="4"/>
      <c r="K23" s="4"/>
      <c r="L23" s="4"/>
      <c r="M23" s="4" t="str">
        <f>IF(COUNT(I23:L23)=0,"",I23*0.05+J23*0.2+K23*0.3+L23*0.45)</f>
        <v/>
      </c>
      <c r="N23" s="5" t="str">
        <f>IF(M23="","Data missing",IF(M23&gt;=20,"Positive",IF(M23&lt;=-10,"Negative","Mixed")))</f>
        <v>Data missing</v>
      </c>
      <c r="O23" s="2"/>
      <c r="P23" s="2" t="s">
        <v>122</v>
      </c>
      <c r="Q23" s="2" t="s">
        <v>123</v>
      </c>
    </row>
    <row r="24" spans="1:17">
      <c r="A24" s="2" t="s">
        <v>127</v>
      </c>
      <c r="B24" s="2" t="s">
        <v>128</v>
      </c>
      <c r="C24" s="2" t="s">
        <v>129</v>
      </c>
      <c r="D24" s="2" t="s">
        <v>33</v>
      </c>
      <c r="E24" s="2" t="s">
        <v>21</v>
      </c>
      <c r="F24" s="2" t="s">
        <v>22</v>
      </c>
      <c r="G24" s="2"/>
      <c r="H24" s="3"/>
      <c r="I24" s="4"/>
      <c r="J24" s="4"/>
      <c r="K24" s="4"/>
      <c r="L24" s="4"/>
      <c r="M24" s="4" t="str">
        <f>IF(COUNT(I24:L24)=0,"",I24*0.05+J24*0.2+K24*0.3+L24*0.45)</f>
        <v/>
      </c>
      <c r="N24" s="5" t="str">
        <f>IF(M24="","Data missing",IF(M24&gt;=20,"Positive",IF(M24&lt;=-10,"Negative","Mixed")))</f>
        <v>Data missing</v>
      </c>
      <c r="O24" s="2"/>
      <c r="P24" s="2" t="s">
        <v>122</v>
      </c>
      <c r="Q24" s="2" t="s">
        <v>123</v>
      </c>
    </row>
    <row r="25" spans="1:17">
      <c r="A25" s="2" t="s">
        <v>130</v>
      </c>
      <c r="B25" s="2" t="s">
        <v>131</v>
      </c>
      <c r="C25" s="2" t="s">
        <v>132</v>
      </c>
      <c r="D25" s="2" t="s">
        <v>33</v>
      </c>
      <c r="E25" s="2" t="s">
        <v>44</v>
      </c>
      <c r="F25" s="2" t="s">
        <v>133</v>
      </c>
      <c r="G25" s="2" t="s">
        <v>134</v>
      </c>
      <c r="H25" s="3">
        <v>257.5</v>
      </c>
      <c r="I25" s="4">
        <v>-3.8999999999999998E-3</v>
      </c>
      <c r="J25" s="4">
        <v>2.18E-2</v>
      </c>
      <c r="K25" s="4">
        <v>-8.3499999999999991E-2</v>
      </c>
      <c r="L25" s="4">
        <v>-0.10879999999999999</v>
      </c>
      <c r="M25" s="4">
        <f>IF(COUNT(I25:L25)=0,"",I25*0.05+J25*0.2+K25*0.3+L25*0.45)</f>
        <v>-6.984499999999999E-2</v>
      </c>
      <c r="N25" s="5" t="str">
        <f>IF(M25="","Data missing",IF(M25&gt;=20,"Positive",IF(M25&lt;=-10,"Negative","Mixed")))</f>
        <v>Mixed</v>
      </c>
      <c r="O25" s="2" t="s">
        <v>24</v>
      </c>
      <c r="P25" s="2" t="s">
        <v>25</v>
      </c>
      <c r="Q25" s="2" t="s">
        <v>26</v>
      </c>
    </row>
    <row r="26" spans="1:17">
      <c r="A26" s="2" t="s">
        <v>135</v>
      </c>
      <c r="B26" s="2" t="s">
        <v>131</v>
      </c>
      <c r="C26" s="2" t="s">
        <v>136</v>
      </c>
      <c r="D26" s="2" t="s">
        <v>33</v>
      </c>
      <c r="E26" s="2" t="s">
        <v>44</v>
      </c>
      <c r="F26" s="2" t="s">
        <v>133</v>
      </c>
      <c r="G26" s="2" t="s">
        <v>137</v>
      </c>
      <c r="H26" s="3">
        <v>264.2</v>
      </c>
      <c r="I26" s="4">
        <v>-6.0000000000000001E-3</v>
      </c>
      <c r="J26" s="4">
        <v>2.1499999999999998E-2</v>
      </c>
      <c r="K26" s="4">
        <v>-9.2600000000000002E-2</v>
      </c>
      <c r="L26" s="4">
        <v>-0.1179</v>
      </c>
      <c r="M26" s="4">
        <f>IF(COUNT(I26:L26)=0,"",I26*0.05+J26*0.2+K26*0.3+L26*0.45)</f>
        <v>-7.6835000000000001E-2</v>
      </c>
      <c r="N26" s="5" t="str">
        <f>IF(M26="","Data missing",IF(M26&gt;=20,"Positive",IF(M26&lt;=-10,"Negative","Mixed")))</f>
        <v>Mixed</v>
      </c>
      <c r="O26" s="2" t="s">
        <v>24</v>
      </c>
      <c r="P26" s="2" t="s">
        <v>25</v>
      </c>
      <c r="Q26" s="2" t="s">
        <v>26</v>
      </c>
    </row>
    <row r="27" spans="1:17">
      <c r="A27" s="2" t="s">
        <v>138</v>
      </c>
      <c r="B27" s="2" t="s">
        <v>139</v>
      </c>
      <c r="C27" s="2" t="s">
        <v>140</v>
      </c>
      <c r="D27" s="2" t="s">
        <v>33</v>
      </c>
      <c r="E27" s="2" t="s">
        <v>38</v>
      </c>
      <c r="F27" s="2" t="s">
        <v>45</v>
      </c>
      <c r="G27" s="2" t="s">
        <v>141</v>
      </c>
      <c r="H27" s="3">
        <v>90300</v>
      </c>
      <c r="I27" s="4">
        <v>-2.5899999999999999E-2</v>
      </c>
      <c r="J27" s="4">
        <v>-3.7400000000000003E-2</v>
      </c>
      <c r="K27" s="4">
        <v>-0.2697</v>
      </c>
      <c r="L27" s="4">
        <v>-0.21920000000000001</v>
      </c>
      <c r="M27" s="4">
        <f>IF(COUNT(I27:L27)=0,"",I27*0.05+J27*0.2+K27*0.3+L27*0.45)</f>
        <v>-0.18832500000000002</v>
      </c>
      <c r="N27" s="5" t="str">
        <f>IF(M27="","Data missing",IF(M27&gt;=20,"Positive",IF(M27&lt;=-10,"Negative","Mixed")))</f>
        <v>Mixed</v>
      </c>
      <c r="O27" s="2" t="s">
        <v>24</v>
      </c>
      <c r="P27" s="2" t="s">
        <v>25</v>
      </c>
      <c r="Q27" s="2" t="s">
        <v>26</v>
      </c>
    </row>
    <row r="28" spans="1:17">
      <c r="A28" s="2" t="s">
        <v>142</v>
      </c>
      <c r="B28" s="2" t="s">
        <v>139</v>
      </c>
      <c r="C28" s="2" t="s">
        <v>143</v>
      </c>
      <c r="D28" s="2" t="s">
        <v>33</v>
      </c>
      <c r="E28" s="2" t="s">
        <v>38</v>
      </c>
      <c r="F28" s="2" t="s">
        <v>45</v>
      </c>
      <c r="G28" s="2" t="s">
        <v>144</v>
      </c>
      <c r="H28" s="3">
        <v>8715</v>
      </c>
      <c r="I28" s="4">
        <v>-1.8599999999999998E-2</v>
      </c>
      <c r="J28" s="4">
        <v>-2.7799999999999998E-2</v>
      </c>
      <c r="K28" s="4">
        <v>-0.28199999999999997</v>
      </c>
      <c r="L28" s="4">
        <v>-0.24809999999999999</v>
      </c>
      <c r="M28" s="4">
        <f>IF(COUNT(I28:L28)=0,"",I28*0.05+J28*0.2+K28*0.3+L28*0.45)</f>
        <v>-0.202735</v>
      </c>
      <c r="N28" s="5" t="str">
        <f>IF(M28="","Data missing",IF(M28&gt;=20,"Positive",IF(M28&lt;=-10,"Negative","Mixed")))</f>
        <v>Mixed</v>
      </c>
      <c r="O28" s="2" t="s">
        <v>24</v>
      </c>
      <c r="P28" s="2" t="s">
        <v>25</v>
      </c>
      <c r="Q28" s="2" t="s">
        <v>26</v>
      </c>
    </row>
    <row r="29" spans="1:17">
      <c r="A29" s="2" t="s">
        <v>145</v>
      </c>
      <c r="B29" s="2" t="s">
        <v>146</v>
      </c>
      <c r="C29" s="2" t="s">
        <v>147</v>
      </c>
      <c r="D29" s="2" t="s">
        <v>33</v>
      </c>
      <c r="E29" s="2" t="s">
        <v>44</v>
      </c>
      <c r="F29" s="2" t="s">
        <v>67</v>
      </c>
      <c r="G29" s="2" t="s">
        <v>148</v>
      </c>
      <c r="H29" s="3">
        <v>603.20000000000005</v>
      </c>
      <c r="I29" s="4">
        <v>-4.8999999999999998E-3</v>
      </c>
      <c r="J29" s="4">
        <v>6.3E-3</v>
      </c>
      <c r="K29" s="4">
        <v>0.11799999999999999</v>
      </c>
      <c r="L29" s="4">
        <v>1.2466999999999999</v>
      </c>
      <c r="M29" s="4">
        <f>IF(COUNT(I29:L29)=0,"",I29*0.05+J29*0.2+K29*0.3+L29*0.45)</f>
        <v>0.59742999999999991</v>
      </c>
      <c r="N29" s="5" t="str">
        <f>IF(M29="","Data missing",IF(M29&gt;=20,"Positive",IF(M29&lt;=-10,"Negative","Mixed")))</f>
        <v>Mixed</v>
      </c>
      <c r="O29" s="2" t="s">
        <v>24</v>
      </c>
      <c r="P29" s="2" t="s">
        <v>25</v>
      </c>
      <c r="Q29" s="2" t="s">
        <v>26</v>
      </c>
    </row>
    <row r="30" spans="1:17">
      <c r="A30" s="2" t="s">
        <v>149</v>
      </c>
      <c r="B30" s="2" t="s">
        <v>150</v>
      </c>
      <c r="C30" s="2" t="s">
        <v>151</v>
      </c>
      <c r="D30" s="2" t="s">
        <v>33</v>
      </c>
      <c r="E30" s="2" t="s">
        <v>50</v>
      </c>
      <c r="F30" s="2" t="s">
        <v>22</v>
      </c>
      <c r="G30" s="2" t="s">
        <v>152</v>
      </c>
      <c r="H30" s="3">
        <v>214.8</v>
      </c>
      <c r="I30" s="4">
        <v>7.4999999999999997E-3</v>
      </c>
      <c r="J30" s="4">
        <v>3.2899999999999999E-2</v>
      </c>
      <c r="K30" s="4">
        <v>6.7000000000000004E-2</v>
      </c>
      <c r="L30" s="4">
        <v>2.69E-2</v>
      </c>
      <c r="M30" s="4">
        <f>IF(COUNT(I30:L30)=0,"",I30*0.05+J30*0.2+K30*0.3+L30*0.45)</f>
        <v>3.916E-2</v>
      </c>
      <c r="N30" s="5" t="str">
        <f>IF(M30="","Data missing",IF(M30&gt;=20,"Positive",IF(M30&lt;=-10,"Negative","Mixed")))</f>
        <v>Mixed</v>
      </c>
      <c r="O30" s="2" t="s">
        <v>24</v>
      </c>
      <c r="P30" s="2" t="s">
        <v>25</v>
      </c>
      <c r="Q30" s="2" t="s">
        <v>26</v>
      </c>
    </row>
    <row r="31" spans="1:17">
      <c r="A31" s="2" t="s">
        <v>153</v>
      </c>
      <c r="B31" s="2" t="s">
        <v>154</v>
      </c>
      <c r="C31" s="2" t="s">
        <v>155</v>
      </c>
      <c r="D31" s="2" t="s">
        <v>33</v>
      </c>
      <c r="E31" s="2" t="s">
        <v>44</v>
      </c>
      <c r="F31" s="2" t="s">
        <v>57</v>
      </c>
      <c r="G31" s="2" t="s">
        <v>156</v>
      </c>
      <c r="H31" s="3">
        <v>93.44</v>
      </c>
      <c r="I31" s="4">
        <v>1.2999999999999999E-3</v>
      </c>
      <c r="J31" s="4">
        <v>4.9099999999999998E-2</v>
      </c>
      <c r="K31" s="4">
        <v>-3.5299999999999998E-2</v>
      </c>
      <c r="L31" s="4">
        <v>0.13980000000000001</v>
      </c>
      <c r="M31" s="4">
        <f>IF(COUNT(I31:L31)=0,"",I31*0.05+J31*0.2+K31*0.3+L31*0.45)</f>
        <v>6.220500000000001E-2</v>
      </c>
      <c r="N31" s="5" t="str">
        <f>IF(M31="","Data missing",IF(M31&gt;=20,"Positive",IF(M31&lt;=-10,"Negative","Mixed")))</f>
        <v>Mixed</v>
      </c>
      <c r="O31" s="2" t="s">
        <v>24</v>
      </c>
      <c r="P31" s="2" t="s">
        <v>25</v>
      </c>
      <c r="Q31" s="2" t="s">
        <v>26</v>
      </c>
    </row>
    <row r="32" spans="1:17">
      <c r="A32" s="2" t="s">
        <v>157</v>
      </c>
      <c r="B32" s="2" t="s">
        <v>158</v>
      </c>
      <c r="C32" s="2" t="s">
        <v>159</v>
      </c>
      <c r="D32" s="2" t="s">
        <v>33</v>
      </c>
      <c r="E32" s="2" t="s">
        <v>21</v>
      </c>
      <c r="F32" s="2" t="s">
        <v>22</v>
      </c>
      <c r="G32" s="2" t="s">
        <v>160</v>
      </c>
      <c r="H32" s="3">
        <v>93.2</v>
      </c>
      <c r="I32" s="4">
        <v>1.11E-2</v>
      </c>
      <c r="J32" s="4">
        <v>2.07E-2</v>
      </c>
      <c r="K32" s="4">
        <v>3.0000000000000001E-3</v>
      </c>
      <c r="L32" s="4">
        <v>-1.7100000000000001E-2</v>
      </c>
      <c r="M32" s="4">
        <f>IF(COUNT(I32:L32)=0,"",I32*0.05+J32*0.2+K32*0.3+L32*0.45)</f>
        <v>-2.1000000000000003E-3</v>
      </c>
      <c r="N32" s="5" t="str">
        <f>IF(M32="","Data missing",IF(M32&gt;=20,"Positive",IF(M32&lt;=-10,"Negative","Mixed")))</f>
        <v>Mixed</v>
      </c>
      <c r="O32" s="2" t="s">
        <v>24</v>
      </c>
      <c r="P32" s="2" t="s">
        <v>25</v>
      </c>
      <c r="Q32" s="2" t="s">
        <v>26</v>
      </c>
    </row>
    <row r="33" spans="1:17">
      <c r="A33" s="2" t="s">
        <v>161</v>
      </c>
      <c r="B33" s="2" t="s">
        <v>162</v>
      </c>
      <c r="C33" s="2" t="s">
        <v>163</v>
      </c>
      <c r="D33" s="2" t="s">
        <v>33</v>
      </c>
      <c r="E33" s="2" t="s">
        <v>66</v>
      </c>
      <c r="F33" s="2" t="s">
        <v>104</v>
      </c>
      <c r="G33" s="2" t="s">
        <v>164</v>
      </c>
      <c r="H33" s="3">
        <v>791</v>
      </c>
      <c r="I33" s="4">
        <v>2.86E-2</v>
      </c>
      <c r="J33" s="4">
        <v>0.1046</v>
      </c>
      <c r="K33" s="4">
        <v>0.20660000000000001</v>
      </c>
      <c r="L33" s="4">
        <v>0.24249999999999999</v>
      </c>
      <c r="M33" s="4">
        <f>IF(COUNT(I33:L33)=0,"",I33*0.05+J33*0.2+K33*0.3+L33*0.45)</f>
        <v>0.19345499999999999</v>
      </c>
      <c r="N33" s="5" t="str">
        <f>IF(M33="","Data missing",IF(M33&gt;=20,"Positive",IF(M33&lt;=-10,"Negative","Mixed")))</f>
        <v>Mixed</v>
      </c>
      <c r="O33" s="2" t="s">
        <v>24</v>
      </c>
      <c r="P33" s="2" t="s">
        <v>25</v>
      </c>
      <c r="Q33" s="2" t="s">
        <v>26</v>
      </c>
    </row>
    <row r="34" spans="1:17">
      <c r="A34" s="2" t="s">
        <v>165</v>
      </c>
      <c r="B34" s="2" t="s">
        <v>166</v>
      </c>
      <c r="C34" s="2" t="s">
        <v>167</v>
      </c>
      <c r="D34" s="2" t="s">
        <v>33</v>
      </c>
      <c r="E34" s="2" t="s">
        <v>50</v>
      </c>
      <c r="F34" s="2" t="s">
        <v>45</v>
      </c>
      <c r="G34" s="2" t="s">
        <v>168</v>
      </c>
      <c r="H34" s="3">
        <v>76.06</v>
      </c>
      <c r="I34" s="4">
        <v>7.4000000000000003E-3</v>
      </c>
      <c r="J34" s="4">
        <v>0.17399999999999999</v>
      </c>
      <c r="K34" s="4">
        <v>0.15</v>
      </c>
      <c r="L34" s="4">
        <v>0.28339999999999999</v>
      </c>
      <c r="M34" s="4">
        <f>IF(COUNT(I34:L34)=0,"",I34*0.05+J34*0.2+K34*0.3+L34*0.45)</f>
        <v>0.2077</v>
      </c>
      <c r="N34" s="5" t="str">
        <f>IF(M34="","Data missing",IF(M34&gt;=20,"Positive",IF(M34&lt;=-10,"Negative","Mixed")))</f>
        <v>Mixed</v>
      </c>
      <c r="O34" s="2" t="s">
        <v>24</v>
      </c>
      <c r="P34" s="2" t="s">
        <v>25</v>
      </c>
      <c r="Q34" s="2" t="s">
        <v>26</v>
      </c>
    </row>
    <row r="35" spans="1:17">
      <c r="A35" s="2" t="s">
        <v>169</v>
      </c>
      <c r="B35" s="2" t="s">
        <v>170</v>
      </c>
      <c r="C35" s="2" t="s">
        <v>171</v>
      </c>
      <c r="D35" s="2" t="s">
        <v>33</v>
      </c>
      <c r="E35" s="2" t="s">
        <v>21</v>
      </c>
      <c r="F35" s="2" t="s">
        <v>45</v>
      </c>
      <c r="G35" s="2" t="s">
        <v>172</v>
      </c>
      <c r="H35" s="3">
        <v>234.4</v>
      </c>
      <c r="I35" s="4">
        <v>-1.01E-2</v>
      </c>
      <c r="J35" s="4">
        <v>0.14860000000000001</v>
      </c>
      <c r="K35" s="4">
        <v>0.19470000000000001</v>
      </c>
      <c r="L35" s="4">
        <v>5.1900000000000002E-2</v>
      </c>
      <c r="M35" s="4">
        <f>IF(COUNT(I35:L35)=0,"",I35*0.05+J35*0.2+K35*0.3+L35*0.45)</f>
        <v>0.11098000000000001</v>
      </c>
      <c r="N35" s="5" t="str">
        <f>IF(M35="","Data missing",IF(M35&gt;=20,"Positive",IF(M35&lt;=-10,"Negative","Mixed")))</f>
        <v>Mixed</v>
      </c>
      <c r="O35" s="2" t="s">
        <v>24</v>
      </c>
      <c r="P35" s="2" t="s">
        <v>25</v>
      </c>
      <c r="Q35" s="2" t="s">
        <v>26</v>
      </c>
    </row>
    <row r="36" spans="1:17">
      <c r="A36" s="2" t="s">
        <v>173</v>
      </c>
      <c r="B36" s="2" t="s">
        <v>174</v>
      </c>
      <c r="C36" s="2" t="s">
        <v>175</v>
      </c>
      <c r="D36" s="2" t="s">
        <v>33</v>
      </c>
      <c r="E36" s="2" t="s">
        <v>44</v>
      </c>
      <c r="F36" s="2" t="s">
        <v>45</v>
      </c>
      <c r="G36" s="2" t="s">
        <v>176</v>
      </c>
      <c r="H36" s="3">
        <v>878.5</v>
      </c>
      <c r="I36" s="4">
        <v>2.2100000000000002E-2</v>
      </c>
      <c r="J36" s="4">
        <v>2.0899999999999998E-2</v>
      </c>
      <c r="K36" s="4">
        <v>7.7699999999999991E-2</v>
      </c>
      <c r="L36" s="4">
        <v>-6.4100000000000004E-2</v>
      </c>
      <c r="M36" s="4">
        <f>IF(COUNT(I36:L36)=0,"",I36*0.05+J36*0.2+K36*0.3+L36*0.45)</f>
        <v>-2.5000000000000716E-4</v>
      </c>
      <c r="N36" s="5" t="str">
        <f>IF(M36="","Data missing",IF(M36&gt;=20,"Positive",IF(M36&lt;=-10,"Negative","Mixed")))</f>
        <v>Mixed</v>
      </c>
      <c r="O36" s="2" t="s">
        <v>24</v>
      </c>
      <c r="P36" s="2" t="s">
        <v>25</v>
      </c>
      <c r="Q36" s="2" t="s">
        <v>26</v>
      </c>
    </row>
    <row r="37" spans="1:17">
      <c r="A37" s="2" t="s">
        <v>177</v>
      </c>
      <c r="B37" s="2" t="s">
        <v>178</v>
      </c>
      <c r="C37" s="2" t="s">
        <v>179</v>
      </c>
      <c r="D37" s="2" t="s">
        <v>33</v>
      </c>
      <c r="E37" s="2" t="s">
        <v>180</v>
      </c>
      <c r="F37" s="2" t="s">
        <v>45</v>
      </c>
      <c r="G37" s="2" t="s">
        <v>181</v>
      </c>
      <c r="H37" s="3">
        <v>127</v>
      </c>
      <c r="I37" s="4">
        <v>-3.0999999999999999E-3</v>
      </c>
      <c r="J37" s="4">
        <v>-2.0799999999999999E-2</v>
      </c>
      <c r="K37" s="4">
        <v>-0.13159999999999999</v>
      </c>
      <c r="L37" s="4">
        <v>0.13750000000000001</v>
      </c>
      <c r="M37" s="4">
        <f>IF(COUNT(I37:L37)=0,"",I37*0.05+J37*0.2+K37*0.3+L37*0.45)</f>
        <v>1.8080000000000013E-2</v>
      </c>
      <c r="N37" s="5" t="str">
        <f>IF(M37="","Data missing",IF(M37&gt;=20,"Positive",IF(M37&lt;=-10,"Negative","Mixed")))</f>
        <v>Mixed</v>
      </c>
      <c r="O37" s="2" t="s">
        <v>24</v>
      </c>
      <c r="P37" s="2" t="s">
        <v>25</v>
      </c>
      <c r="Q37" s="2" t="s">
        <v>26</v>
      </c>
    </row>
    <row r="38" spans="1:17">
      <c r="A38" s="2" t="s">
        <v>182</v>
      </c>
      <c r="B38" s="2" t="s">
        <v>183</v>
      </c>
      <c r="C38" s="2" t="s">
        <v>184</v>
      </c>
      <c r="D38" s="2" t="s">
        <v>33</v>
      </c>
      <c r="E38" s="2" t="s">
        <v>56</v>
      </c>
      <c r="F38" s="2" t="s">
        <v>185</v>
      </c>
      <c r="G38" s="2" t="s">
        <v>186</v>
      </c>
      <c r="H38" s="3">
        <v>187.1</v>
      </c>
      <c r="I38" s="4">
        <v>6.7000000000000002E-3</v>
      </c>
      <c r="J38" s="4">
        <v>-0.1053</v>
      </c>
      <c r="K38" s="4">
        <v>-3.7100000000000001E-2</v>
      </c>
      <c r="L38" s="4">
        <v>0.26119999999999999</v>
      </c>
      <c r="M38" s="4">
        <f>IF(COUNT(I38:L38)=0,"",I38*0.05+J38*0.2+K38*0.3+L38*0.45)</f>
        <v>8.5684999999999983E-2</v>
      </c>
      <c r="N38" s="5" t="str">
        <f>IF(M38="","Data missing",IF(M38&gt;=20,"Positive",IF(M38&lt;=-10,"Negative","Mixed")))</f>
        <v>Mixed</v>
      </c>
      <c r="O38" s="2" t="s">
        <v>24</v>
      </c>
      <c r="P38" s="2" t="s">
        <v>25</v>
      </c>
      <c r="Q38" s="2" t="s">
        <v>26</v>
      </c>
    </row>
    <row r="39" spans="1:17">
      <c r="A39" s="2" t="s">
        <v>187</v>
      </c>
      <c r="B39" s="2" t="s">
        <v>188</v>
      </c>
      <c r="C39" s="2" t="s">
        <v>189</v>
      </c>
      <c r="D39" s="2" t="s">
        <v>33</v>
      </c>
      <c r="E39" s="2" t="s">
        <v>44</v>
      </c>
      <c r="F39" s="2" t="s">
        <v>45</v>
      </c>
      <c r="G39" s="2" t="s">
        <v>190</v>
      </c>
      <c r="H39" s="3">
        <v>208.2</v>
      </c>
      <c r="I39" s="4">
        <v>-7.7100000000000002E-2</v>
      </c>
      <c r="J39" s="4">
        <v>-1.6999999999999999E-3</v>
      </c>
      <c r="K39" s="4">
        <v>-0.1258</v>
      </c>
      <c r="L39" s="4">
        <v>-6.3299999999999995E-2</v>
      </c>
      <c r="M39" s="4">
        <f>IF(COUNT(I39:L39)=0,"",I39*0.05+J39*0.2+K39*0.3+L39*0.45)</f>
        <v>-7.0419999999999996E-2</v>
      </c>
      <c r="N39" s="5" t="str">
        <f>IF(M39="","Data missing",IF(M39&gt;=20,"Positive",IF(M39&lt;=-10,"Negative","Mixed")))</f>
        <v>Mixed</v>
      </c>
      <c r="O39" s="2" t="s">
        <v>24</v>
      </c>
      <c r="P39" s="2" t="s">
        <v>25</v>
      </c>
      <c r="Q39" s="2" t="s">
        <v>26</v>
      </c>
    </row>
    <row r="40" spans="1:17">
      <c r="A40" s="2" t="s">
        <v>191</v>
      </c>
      <c r="B40" s="2" t="s">
        <v>192</v>
      </c>
      <c r="C40" s="2" t="s">
        <v>193</v>
      </c>
      <c r="D40" s="2" t="s">
        <v>33</v>
      </c>
      <c r="E40" s="2" t="s">
        <v>44</v>
      </c>
      <c r="F40" s="2" t="s">
        <v>194</v>
      </c>
      <c r="G40" s="2"/>
      <c r="H40" s="3"/>
      <c r="I40" s="4"/>
      <c r="J40" s="4"/>
      <c r="K40" s="4"/>
      <c r="L40" s="4"/>
      <c r="M40" s="4" t="str">
        <f>IF(COUNT(I40:L40)=0,"",I40*0.05+J40*0.2+K40*0.3+L40*0.45)</f>
        <v/>
      </c>
      <c r="N40" s="5" t="str">
        <f>IF(M40="","Data missing",IF(M40&gt;=20,"Positive",IF(M40&lt;=-10,"Negative","Mixed")))</f>
        <v>Data missing</v>
      </c>
      <c r="O40" s="2"/>
      <c r="P40" s="2" t="s">
        <v>122</v>
      </c>
      <c r="Q40" s="2" t="s">
        <v>123</v>
      </c>
    </row>
    <row r="41" spans="1:17">
      <c r="A41" s="2" t="s">
        <v>195</v>
      </c>
      <c r="B41" s="2" t="s">
        <v>196</v>
      </c>
      <c r="C41" s="2" t="s">
        <v>197</v>
      </c>
      <c r="D41" s="2" t="s">
        <v>33</v>
      </c>
      <c r="E41" s="2" t="s">
        <v>56</v>
      </c>
      <c r="F41" s="2" t="s">
        <v>198</v>
      </c>
      <c r="G41" s="2" t="s">
        <v>199</v>
      </c>
      <c r="H41" s="3">
        <v>46.2</v>
      </c>
      <c r="I41" s="4">
        <v>-2.2000000000000001E-3</v>
      </c>
      <c r="J41" s="4">
        <v>-8.8000000000000005E-3</v>
      </c>
      <c r="K41" s="4">
        <v>-6.8000000000000005E-2</v>
      </c>
      <c r="L41" s="4">
        <v>3.2800000000000003E-2</v>
      </c>
      <c r="M41" s="4">
        <f>IF(COUNT(I41:L41)=0,"",I41*0.05+J41*0.2+K41*0.3+L41*0.45)</f>
        <v>-7.5099999999999993E-3</v>
      </c>
      <c r="N41" s="5" t="str">
        <f>IF(M41="","Data missing",IF(M41&gt;=20,"Positive",IF(M41&lt;=-10,"Negative","Mixed")))</f>
        <v>Mixed</v>
      </c>
      <c r="O41" s="2" t="s">
        <v>24</v>
      </c>
      <c r="P41" s="2" t="s">
        <v>25</v>
      </c>
      <c r="Q41" s="2" t="s">
        <v>26</v>
      </c>
    </row>
    <row r="42" spans="1:17">
      <c r="A42" s="2" t="s">
        <v>200</v>
      </c>
      <c r="B42" s="2" t="s">
        <v>201</v>
      </c>
      <c r="C42" s="2" t="s">
        <v>202</v>
      </c>
      <c r="D42" s="2" t="s">
        <v>33</v>
      </c>
      <c r="E42" s="2" t="s">
        <v>180</v>
      </c>
      <c r="F42" s="2" t="s">
        <v>90</v>
      </c>
      <c r="G42" s="2" t="s">
        <v>203</v>
      </c>
      <c r="H42" s="3">
        <v>146.19999999999999</v>
      </c>
      <c r="I42" s="4">
        <v>-2.7000000000000001E-3</v>
      </c>
      <c r="J42" s="4">
        <v>-3.3999999999999998E-3</v>
      </c>
      <c r="K42" s="4">
        <v>-0.1195</v>
      </c>
      <c r="L42" s="4">
        <v>8.9600000000000013E-2</v>
      </c>
      <c r="M42" s="4">
        <f>IF(COUNT(I42:L42)=0,"",I42*0.05+J42*0.2+K42*0.3+L42*0.45)</f>
        <v>3.6550000000000055E-3</v>
      </c>
      <c r="N42" s="5" t="str">
        <f>IF(M42="","Data missing",IF(M42&gt;=20,"Positive",IF(M42&lt;=-10,"Negative","Mixed")))</f>
        <v>Mixed</v>
      </c>
      <c r="O42" s="2" t="s">
        <v>24</v>
      </c>
      <c r="P42" s="2" t="s">
        <v>25</v>
      </c>
      <c r="Q42" s="2" t="s">
        <v>26</v>
      </c>
    </row>
    <row r="43" spans="1:17">
      <c r="A43" s="2" t="s">
        <v>204</v>
      </c>
      <c r="B43" s="2" t="s">
        <v>205</v>
      </c>
      <c r="C43" s="2" t="s">
        <v>206</v>
      </c>
      <c r="D43" s="2" t="s">
        <v>33</v>
      </c>
      <c r="E43" s="2" t="s">
        <v>38</v>
      </c>
      <c r="F43" s="2" t="s">
        <v>45</v>
      </c>
      <c r="G43" s="2" t="s">
        <v>207</v>
      </c>
      <c r="H43" s="3">
        <v>1107</v>
      </c>
      <c r="I43" s="4">
        <v>-9.7999999999999997E-3</v>
      </c>
      <c r="J43" s="4">
        <v>-6.7400000000000002E-2</v>
      </c>
      <c r="K43" s="4">
        <v>-0.2152</v>
      </c>
      <c r="L43" s="4">
        <v>8.8300000000000003E-2</v>
      </c>
      <c r="M43" s="4">
        <f>IF(COUNT(I43:L43)=0,"",I43*0.05+J43*0.2+K43*0.3+L43*0.45)</f>
        <v>-3.8794999999999989E-2</v>
      </c>
      <c r="N43" s="5" t="str">
        <f>IF(M43="","Data missing",IF(M43&gt;=20,"Positive",IF(M43&lt;=-10,"Negative","Mixed")))</f>
        <v>Mixed</v>
      </c>
      <c r="O43" s="2" t="s">
        <v>24</v>
      </c>
      <c r="P43" s="2" t="s">
        <v>25</v>
      </c>
      <c r="Q43" s="2" t="s">
        <v>26</v>
      </c>
    </row>
    <row r="44" spans="1:17">
      <c r="A44" s="2" t="s">
        <v>208</v>
      </c>
      <c r="B44" s="2" t="s">
        <v>209</v>
      </c>
      <c r="C44" s="2" t="s">
        <v>210</v>
      </c>
      <c r="D44" s="2" t="s">
        <v>33</v>
      </c>
      <c r="E44" s="2" t="s">
        <v>50</v>
      </c>
      <c r="F44" s="2" t="s">
        <v>39</v>
      </c>
      <c r="G44" s="2"/>
      <c r="H44" s="3"/>
      <c r="I44" s="4"/>
      <c r="J44" s="4"/>
      <c r="K44" s="4"/>
      <c r="L44" s="4"/>
      <c r="M44" s="4" t="str">
        <f>IF(COUNT(I44:L44)=0,"",I44*0.05+J44*0.2+K44*0.3+L44*0.45)</f>
        <v/>
      </c>
      <c r="N44" s="5" t="str">
        <f>IF(M44="","Data missing",IF(M44&gt;=20,"Positive",IF(M44&lt;=-10,"Negative","Mixed")))</f>
        <v>Data missing</v>
      </c>
      <c r="O44" s="2"/>
      <c r="P44" s="2" t="s">
        <v>122</v>
      </c>
      <c r="Q44" s="2" t="s">
        <v>123</v>
      </c>
    </row>
    <row r="45" spans="1:17">
      <c r="A45" s="2" t="s">
        <v>211</v>
      </c>
      <c r="B45" s="2" t="s">
        <v>212</v>
      </c>
      <c r="C45" s="2" t="s">
        <v>213</v>
      </c>
      <c r="D45" s="2" t="s">
        <v>33</v>
      </c>
      <c r="E45" s="2" t="s">
        <v>66</v>
      </c>
      <c r="F45" s="2" t="s">
        <v>214</v>
      </c>
      <c r="G45" s="2" t="s">
        <v>215</v>
      </c>
      <c r="H45" s="3">
        <v>13.88</v>
      </c>
      <c r="I45" s="4">
        <v>-7.000000000000001E-4</v>
      </c>
      <c r="J45" s="4">
        <v>0.19389999999999999</v>
      </c>
      <c r="K45" s="4">
        <v>0.12139999999999999</v>
      </c>
      <c r="L45" s="4">
        <v>0.1055</v>
      </c>
      <c r="M45" s="4">
        <f>IF(COUNT(I45:L45)=0,"",I45*0.05+J45*0.2+K45*0.3+L45*0.45)</f>
        <v>0.12264</v>
      </c>
      <c r="N45" s="5" t="str">
        <f>IF(M45="","Data missing",IF(M45&gt;=20,"Positive",IF(M45&lt;=-10,"Negative","Mixed")))</f>
        <v>Mixed</v>
      </c>
      <c r="O45" s="2" t="s">
        <v>24</v>
      </c>
      <c r="P45" s="2" t="s">
        <v>25</v>
      </c>
      <c r="Q45" s="2" t="s">
        <v>26</v>
      </c>
    </row>
    <row r="46" spans="1:17">
      <c r="A46" s="2" t="s">
        <v>216</v>
      </c>
      <c r="B46" s="2" t="s">
        <v>217</v>
      </c>
      <c r="C46" s="2" t="s">
        <v>218</v>
      </c>
      <c r="D46" s="2" t="s">
        <v>33</v>
      </c>
      <c r="E46" s="2" t="s">
        <v>117</v>
      </c>
      <c r="F46" s="2" t="s">
        <v>57</v>
      </c>
      <c r="G46" s="2" t="s">
        <v>219</v>
      </c>
      <c r="H46" s="3">
        <v>75.45</v>
      </c>
      <c r="I46" s="4">
        <v>-1.18E-2</v>
      </c>
      <c r="J46" s="4">
        <v>0.14430000000000001</v>
      </c>
      <c r="K46" s="4">
        <v>4.8300000000000003E-2</v>
      </c>
      <c r="L46" s="4">
        <v>5.7099999999999998E-2</v>
      </c>
      <c r="M46" s="4">
        <f>IF(COUNT(I46:L46)=0,"",I46*0.05+J46*0.2+K46*0.3+L46*0.45)</f>
        <v>6.8455000000000002E-2</v>
      </c>
      <c r="N46" s="5" t="str">
        <f>IF(M46="","Data missing",IF(M46&gt;=20,"Positive",IF(M46&lt;=-10,"Negative","Mixed")))</f>
        <v>Mixed</v>
      </c>
      <c r="O46" s="2" t="s">
        <v>24</v>
      </c>
      <c r="P46" s="2" t="s">
        <v>25</v>
      </c>
      <c r="Q46" s="2" t="s">
        <v>26</v>
      </c>
    </row>
    <row r="47" spans="1:17">
      <c r="A47" s="2" t="s">
        <v>220</v>
      </c>
      <c r="B47" s="2" t="s">
        <v>221</v>
      </c>
      <c r="C47" s="2" t="s">
        <v>222</v>
      </c>
      <c r="D47" s="2" t="s">
        <v>33</v>
      </c>
      <c r="E47" s="2" t="s">
        <v>21</v>
      </c>
      <c r="F47" s="2" t="s">
        <v>85</v>
      </c>
      <c r="G47" s="2" t="s">
        <v>223</v>
      </c>
      <c r="H47" s="3">
        <v>84.35</v>
      </c>
      <c r="I47" s="4">
        <v>5.4000000000000003E-3</v>
      </c>
      <c r="J47" s="4">
        <v>-1.0200000000000001E-2</v>
      </c>
      <c r="K47" s="4">
        <v>-0.14360000000000001</v>
      </c>
      <c r="L47" s="4">
        <v>-3.1199999999999999E-2</v>
      </c>
      <c r="M47" s="4">
        <f>IF(COUNT(I47:L47)=0,"",I47*0.05+J47*0.2+K47*0.3+L47*0.45)</f>
        <v>-5.8889999999999998E-2</v>
      </c>
      <c r="N47" s="5" t="str">
        <f>IF(M47="","Data missing",IF(M47&gt;=20,"Positive",IF(M47&lt;=-10,"Negative","Mixed")))</f>
        <v>Mixed</v>
      </c>
      <c r="O47" s="2" t="s">
        <v>24</v>
      </c>
      <c r="P47" s="2" t="s">
        <v>25</v>
      </c>
      <c r="Q47" s="2" t="s">
        <v>26</v>
      </c>
    </row>
    <row r="48" spans="1:17">
      <c r="A48" s="2" t="s">
        <v>224</v>
      </c>
      <c r="B48" s="2" t="s">
        <v>225</v>
      </c>
      <c r="C48" s="2" t="s">
        <v>226</v>
      </c>
      <c r="D48" s="2" t="s">
        <v>33</v>
      </c>
      <c r="E48" s="2" t="s">
        <v>44</v>
      </c>
      <c r="F48" s="2" t="s">
        <v>214</v>
      </c>
      <c r="G48" s="2" t="s">
        <v>227</v>
      </c>
      <c r="H48" s="3">
        <v>55.95</v>
      </c>
      <c r="I48" s="4">
        <v>9.8999999999999991E-3</v>
      </c>
      <c r="J48" s="4">
        <v>0.27600000000000002</v>
      </c>
      <c r="K48" s="4">
        <v>0.15620000000000001</v>
      </c>
      <c r="L48" s="4">
        <v>-0.1048</v>
      </c>
      <c r="M48" s="4">
        <f>IF(COUNT(I48:L48)=0,"",I48*0.05+J48*0.2+K48*0.3+L48*0.45)</f>
        <v>5.5395000000000007E-2</v>
      </c>
      <c r="N48" s="5" t="str">
        <f>IF(M48="","Data missing",IF(M48&gt;=20,"Positive",IF(M48&lt;=-10,"Negative","Mixed")))</f>
        <v>Mixed</v>
      </c>
      <c r="O48" s="2" t="s">
        <v>24</v>
      </c>
      <c r="P48" s="2" t="s">
        <v>25</v>
      </c>
      <c r="Q48" s="2" t="s">
        <v>26</v>
      </c>
    </row>
    <row r="49" spans="1:17">
      <c r="A49" s="2" t="s">
        <v>228</v>
      </c>
      <c r="B49" s="2" t="s">
        <v>229</v>
      </c>
      <c r="C49" s="2" t="s">
        <v>230</v>
      </c>
      <c r="D49" s="2" t="s">
        <v>33</v>
      </c>
      <c r="E49" s="2" t="s">
        <v>84</v>
      </c>
      <c r="F49" s="2" t="s">
        <v>45</v>
      </c>
      <c r="G49" s="2"/>
      <c r="H49" s="3"/>
      <c r="I49" s="4"/>
      <c r="J49" s="4"/>
      <c r="K49" s="4"/>
      <c r="L49" s="4"/>
      <c r="M49" s="4" t="str">
        <f>IF(COUNT(I49:L49)=0,"",I49*0.05+J49*0.2+K49*0.3+L49*0.45)</f>
        <v/>
      </c>
      <c r="N49" s="5" t="str">
        <f>IF(M49="","Data missing",IF(M49&gt;=20,"Positive",IF(M49&lt;=-10,"Negative","Mixed")))</f>
        <v>Data missing</v>
      </c>
      <c r="O49" s="2"/>
      <c r="P49" s="2" t="s">
        <v>122</v>
      </c>
      <c r="Q49" s="2" t="s">
        <v>123</v>
      </c>
    </row>
    <row r="50" spans="1:17">
      <c r="A50" s="2" t="s">
        <v>231</v>
      </c>
      <c r="B50" s="2" t="s">
        <v>232</v>
      </c>
      <c r="C50" s="2" t="s">
        <v>233</v>
      </c>
      <c r="D50" s="2" t="s">
        <v>33</v>
      </c>
      <c r="E50" s="2" t="s">
        <v>44</v>
      </c>
      <c r="F50" s="2" t="s">
        <v>45</v>
      </c>
      <c r="G50" s="2" t="s">
        <v>234</v>
      </c>
      <c r="H50" s="3">
        <v>24.32</v>
      </c>
      <c r="I50" s="4">
        <v>6.6E-3</v>
      </c>
      <c r="J50" s="4">
        <v>0.51429999999999998</v>
      </c>
      <c r="K50" s="4">
        <v>0.128</v>
      </c>
      <c r="L50" s="4">
        <v>-4.2500000000000003E-2</v>
      </c>
      <c r="M50" s="4">
        <f>IF(COUNT(I50:L50)=0,"",I50*0.05+J50*0.2+K50*0.3+L50*0.45)</f>
        <v>0.12246499999999999</v>
      </c>
      <c r="N50" s="5" t="str">
        <f>IF(M50="","Data missing",IF(M50&gt;=20,"Positive",IF(M50&lt;=-10,"Negative","Mixed")))</f>
        <v>Mixed</v>
      </c>
      <c r="O50" s="2" t="s">
        <v>24</v>
      </c>
      <c r="P50" s="2" t="s">
        <v>25</v>
      </c>
      <c r="Q50" s="2" t="s">
        <v>26</v>
      </c>
    </row>
    <row r="51" spans="1:17">
      <c r="A51" s="2" t="s">
        <v>235</v>
      </c>
      <c r="B51" s="2" t="s">
        <v>236</v>
      </c>
      <c r="C51" s="2" t="s">
        <v>237</v>
      </c>
      <c r="D51" s="2" t="s">
        <v>33</v>
      </c>
      <c r="E51" s="2" t="s">
        <v>66</v>
      </c>
      <c r="F51" s="2" t="s">
        <v>238</v>
      </c>
      <c r="G51" s="2" t="s">
        <v>239</v>
      </c>
      <c r="H51" s="3">
        <v>10.8</v>
      </c>
      <c r="I51" s="4">
        <v>2.47E-2</v>
      </c>
      <c r="J51" s="4">
        <v>0.38169999999999998</v>
      </c>
      <c r="K51" s="4">
        <v>0.3276</v>
      </c>
      <c r="L51" s="4">
        <v>0.35659999999999997</v>
      </c>
      <c r="M51" s="4">
        <f>IF(COUNT(I51:L51)=0,"",I51*0.05+J51*0.2+K51*0.3+L51*0.45)</f>
        <v>0.33632499999999999</v>
      </c>
      <c r="N51" s="5" t="str">
        <f>IF(M51="","Data missing",IF(M51&gt;=20,"Positive",IF(M51&lt;=-10,"Negative","Mixed")))</f>
        <v>Mixed</v>
      </c>
      <c r="O51" s="2" t="s">
        <v>24</v>
      </c>
      <c r="P51" s="2" t="s">
        <v>25</v>
      </c>
      <c r="Q51" s="2" t="s">
        <v>26</v>
      </c>
    </row>
  </sheetData>
  <conditionalFormatting sqref="M2:M51">
    <cfRule type="colorScale" priority="1">
      <colorScale>
        <cfvo type="min"/>
        <cfvo type="percentile" val="50"/>
        <cfvo type="max"/>
        <color rgb="FFF8696B"/>
        <color rgb="FFFFEB84"/>
        <color rgb="FF63BE7B"/>
      </colorScale>
    </cfRule>
  </conditionalFormatting>
  <pageMargins left="0.75" right="0.75" top="1" bottom="1" header="0.5" footer="0.5"/>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showGridLines="0" workbookViewId="0"/>
  </sheetViews>
  <sheetFormatPr defaultRowHeight="15"/>
  <cols>
    <col min="1" max="1" width="38" customWidth="1"/>
    <col min="2" max="2" width="20" customWidth="1"/>
  </cols>
  <sheetData>
    <row r="1" spans="1:4">
      <c r="A1" s="6" t="s">
        <v>240</v>
      </c>
    </row>
    <row r="2" spans="1:4">
      <c r="A2" s="7" t="s">
        <v>241</v>
      </c>
    </row>
    <row r="4" spans="1:4">
      <c r="A4" s="8" t="s">
        <v>242</v>
      </c>
      <c r="B4" s="9">
        <f>COUNTA('SMI Expanded Portfolio'!A2:A51)</f>
        <v>50</v>
      </c>
    </row>
    <row r="5" spans="1:4">
      <c r="A5" s="8" t="s">
        <v>243</v>
      </c>
      <c r="B5" s="9">
        <f>COUNT('SMI Expanded Portfolio'!H2:H51)</f>
        <v>44</v>
      </c>
    </row>
    <row r="6" spans="1:4">
      <c r="A6" s="8" t="s">
        <v>244</v>
      </c>
      <c r="B6" s="10">
        <f>AVERAGE('SMI Expanded Portfolio'!J2:J51)</f>
        <v>7.9293181818181804E-2</v>
      </c>
    </row>
    <row r="7" spans="1:4">
      <c r="A7" s="8" t="s">
        <v>245</v>
      </c>
      <c r="B7" s="10">
        <f>AVERAGE('SMI Expanded Portfolio'!K2:K51)</f>
        <v>2.3622727272727274E-2</v>
      </c>
    </row>
    <row r="8" spans="1:4">
      <c r="A8" s="8" t="s">
        <v>246</v>
      </c>
      <c r="B8" s="10">
        <f>AVERAGE('SMI Expanded Portfolio'!L2:L51)</f>
        <v>0.10291818181818183</v>
      </c>
    </row>
    <row r="9" spans="1:4">
      <c r="A9" s="8" t="s">
        <v>247</v>
      </c>
      <c r="B9" s="9">
        <f>COUNTIF('SMI Expanded Portfolio'!N2:N51,"Positive")</f>
        <v>0</v>
      </c>
    </row>
    <row r="10" spans="1:4">
      <c r="A10" s="8" t="s">
        <v>248</v>
      </c>
      <c r="B10" s="9">
        <f>COUNTIF('SMI Expanded Portfolio'!N2:N51,"Negative")</f>
        <v>0</v>
      </c>
    </row>
    <row r="13" spans="1:4">
      <c r="A13" s="11" t="s">
        <v>249</v>
      </c>
    </row>
    <row r="14" spans="1:4">
      <c r="A14" s="17" t="s">
        <v>250</v>
      </c>
      <c r="B14" s="19"/>
      <c r="C14" s="19"/>
      <c r="D14" s="19"/>
    </row>
    <row r="15" spans="1:4">
      <c r="A15" s="17" t="s">
        <v>251</v>
      </c>
      <c r="B15" s="19"/>
      <c r="C15" s="19"/>
      <c r="D15" s="19"/>
    </row>
    <row r="16" spans="1:4">
      <c r="A16" s="17" t="s">
        <v>252</v>
      </c>
      <c r="B16" s="19"/>
      <c r="C16" s="19"/>
      <c r="D16" s="19"/>
    </row>
  </sheetData>
  <mergeCells count="3">
    <mergeCell ref="A15:D15"/>
    <mergeCell ref="A16:D16"/>
    <mergeCell ref="A14:D1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showGridLines="0" workbookViewId="0">
      <pane ySplit="1" topLeftCell="A2" activePane="bottomLeft" state="frozen"/>
      <selection pane="bottomLeft"/>
    </sheetView>
  </sheetViews>
  <sheetFormatPr defaultRowHeight="15"/>
  <cols>
    <col min="1" max="1" width="20" customWidth="1"/>
    <col min="2" max="3" width="24" customWidth="1"/>
    <col min="4" max="4" width="120" customWidth="1"/>
  </cols>
  <sheetData>
    <row r="1" spans="1:4">
      <c r="A1" s="12" t="s">
        <v>253</v>
      </c>
      <c r="B1" s="12" t="s">
        <v>254</v>
      </c>
      <c r="C1" s="12" t="s">
        <v>255</v>
      </c>
      <c r="D1" s="12" t="s">
        <v>256</v>
      </c>
    </row>
    <row r="2" spans="1:4">
      <c r="A2" s="13" t="s">
        <v>257</v>
      </c>
      <c r="B2" s="14" t="s">
        <v>258</v>
      </c>
      <c r="C2" s="14" t="s">
        <v>259</v>
      </c>
      <c r="D2" s="14" t="s">
        <v>260</v>
      </c>
    </row>
    <row r="3" spans="1:4">
      <c r="A3" s="13" t="s">
        <v>257</v>
      </c>
      <c r="B3" s="14" t="s">
        <v>258</v>
      </c>
      <c r="C3" s="14" t="s">
        <v>261</v>
      </c>
      <c r="D3" s="14" t="s">
        <v>262</v>
      </c>
    </row>
    <row r="4" spans="1:4">
      <c r="A4" s="13" t="s">
        <v>257</v>
      </c>
      <c r="B4" s="14" t="s">
        <v>258</v>
      </c>
      <c r="C4" s="14" t="s">
        <v>263</v>
      </c>
      <c r="D4" s="14" t="s">
        <v>264</v>
      </c>
    </row>
    <row r="5" spans="1:4">
      <c r="A5" s="13" t="s">
        <v>257</v>
      </c>
      <c r="B5" s="14" t="s">
        <v>258</v>
      </c>
      <c r="C5" s="14" t="s">
        <v>265</v>
      </c>
      <c r="D5" s="14" t="s">
        <v>266</v>
      </c>
    </row>
    <row r="6" spans="1:4">
      <c r="A6" s="13" t="s">
        <v>267</v>
      </c>
      <c r="B6" s="14" t="s">
        <v>268</v>
      </c>
      <c r="C6" s="14" t="s">
        <v>269</v>
      </c>
      <c r="D6" s="14" t="s">
        <v>270</v>
      </c>
    </row>
    <row r="7" spans="1:4">
      <c r="A7" s="13" t="s">
        <v>267</v>
      </c>
      <c r="B7" s="14" t="s">
        <v>268</v>
      </c>
      <c r="C7" s="14" t="s">
        <v>271</v>
      </c>
      <c r="D7" s="14" t="s">
        <v>272</v>
      </c>
    </row>
    <row r="8" spans="1:4">
      <c r="A8" s="13" t="s">
        <v>267</v>
      </c>
      <c r="B8" s="14" t="s">
        <v>273</v>
      </c>
      <c r="C8" s="14" t="s">
        <v>274</v>
      </c>
      <c r="D8" s="14" t="s">
        <v>275</v>
      </c>
    </row>
    <row r="9" spans="1:4">
      <c r="A9" s="13" t="s">
        <v>267</v>
      </c>
      <c r="B9" s="14" t="s">
        <v>273</v>
      </c>
      <c r="C9" s="14" t="s">
        <v>276</v>
      </c>
      <c r="D9" s="14" t="s">
        <v>277</v>
      </c>
    </row>
    <row r="10" spans="1:4">
      <c r="A10" s="13" t="s">
        <v>267</v>
      </c>
      <c r="B10" s="14" t="s">
        <v>273</v>
      </c>
      <c r="C10" s="14" t="s">
        <v>278</v>
      </c>
      <c r="D10" s="14" t="s">
        <v>279</v>
      </c>
    </row>
    <row r="11" spans="1:4">
      <c r="A11" s="13" t="s">
        <v>280</v>
      </c>
      <c r="B11" s="14" t="s">
        <v>281</v>
      </c>
      <c r="C11" s="14" t="s">
        <v>282</v>
      </c>
      <c r="D11" s="14" t="s">
        <v>283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showGridLines="0" workbookViewId="0"/>
  </sheetViews>
  <sheetFormatPr defaultRowHeight="15"/>
  <cols>
    <col min="1" max="1" width="34" customWidth="1"/>
    <col min="2" max="2" width="58" customWidth="1"/>
    <col min="3" max="3" width="16" customWidth="1"/>
    <col min="4" max="4" width="90" customWidth="1"/>
  </cols>
  <sheetData>
    <row r="1" spans="1:4">
      <c r="A1" s="15" t="s">
        <v>284</v>
      </c>
      <c r="B1" s="15" t="s">
        <v>255</v>
      </c>
      <c r="C1" s="15" t="s">
        <v>285</v>
      </c>
      <c r="D1" s="15" t="s">
        <v>286</v>
      </c>
    </row>
    <row r="2" spans="1:4">
      <c r="A2" s="14" t="s">
        <v>287</v>
      </c>
      <c r="B2" s="14" t="s">
        <v>288</v>
      </c>
      <c r="C2" s="14" t="s">
        <v>289</v>
      </c>
      <c r="D2" s="14" t="s">
        <v>123</v>
      </c>
    </row>
    <row r="3" spans="1:4">
      <c r="A3" s="14" t="s">
        <v>290</v>
      </c>
      <c r="B3" s="14" t="s">
        <v>291</v>
      </c>
      <c r="C3" s="14" t="s">
        <v>24</v>
      </c>
      <c r="D3" s="14" t="s">
        <v>26</v>
      </c>
    </row>
    <row r="4" spans="1:4">
      <c r="A4" s="14" t="s">
        <v>292</v>
      </c>
      <c r="B4" s="14" t="s">
        <v>293</v>
      </c>
      <c r="C4" s="14"/>
      <c r="D4" s="14" t="s">
        <v>294</v>
      </c>
    </row>
    <row r="6" spans="1:4">
      <c r="A6" s="16" t="s">
        <v>295</v>
      </c>
    </row>
    <row r="7" spans="1:4">
      <c r="A7" s="18" t="s">
        <v>296</v>
      </c>
      <c r="B7" s="19"/>
      <c r="C7" s="19"/>
      <c r="D7" s="19"/>
    </row>
    <row r="8" spans="1:4">
      <c r="A8" s="19"/>
      <c r="B8" s="19"/>
      <c r="C8" s="19"/>
      <c r="D8" s="19"/>
    </row>
  </sheetData>
  <mergeCells count="1">
    <mergeCell ref="A7:D8"/>
  </mergeCells>
  <pageMargins left="0.75" right="0.75" top="1" bottom="1" header="0.5" footer="0.5"/>
</worksheet>
</file>

<file path=docMetadata/LabelInfo.xml><?xml version="1.0" encoding="utf-8"?>
<clbl:labelList xmlns:clbl="http://schemas.microsoft.com/office/2020/mipLabelMetadata">
  <clbl:label id="{87ba5c36-b7cf-4793-bbc2-bd5b3a9f95ca}"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Franziska Schaefer</dc:creator>
  <cp:keywords/>
  <dc:description/>
  <cp:lastModifiedBy/>
  <cp:revision/>
  <dcterms:created xsi:type="dcterms:W3CDTF">2026-09-28T11:33:41Z</dcterms:created>
  <dcterms:modified xsi:type="dcterms:W3CDTF">2026-09-28T11:49:50Z</dcterms:modified>
  <cp:category/>
  <cp:contentStatus/>
</cp:coreProperties>
</file>